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309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ashaveraksa/Desktop/Summer_2019_LCP/GitHub/SBOL-Sample-Creator/testing/"/>
    </mc:Choice>
  </mc:AlternateContent>
  <xr:revisionPtr revIDLastSave="0" documentId="13_ncr:1_{866816F9-57FC-E941-BB22-FEF22B1DCB90}" xr6:coauthVersionLast="43" xr6:coauthVersionMax="43" xr10:uidLastSave="{00000000-0000-0000-0000-000000000000}"/>
  <bookViews>
    <workbookView xWindow="0" yWindow="460" windowWidth="25600" windowHeight="14440" xr2:uid="{00000000-000D-0000-FFFF-FFFF00000000}"/>
  </bookViews>
  <sheets>
    <sheet name="Experiment" sheetId="6" r:id="rId1"/>
    <sheet name="Samples" sheetId="2" r:id="rId2"/>
    <sheet name="Experiment DNA sample" sheetId="32" r:id="rId3"/>
  </sheets>
  <definedNames>
    <definedName name="I3010I">0</definedName>
    <definedName name="I3535I">1</definedName>
    <definedName name="I3903I">0</definedName>
    <definedName name="I4018I">0</definedName>
    <definedName name="I4619I">0</definedName>
    <definedName name="I4922I">0</definedName>
    <definedName name="I7577I">1</definedName>
    <definedName name="I896I">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4" i="32" l="1"/>
  <c r="C14" i="32"/>
  <c r="B14" i="32"/>
  <c r="D3" i="32"/>
  <c r="C3" i="32"/>
  <c r="B3" i="32"/>
  <c r="A6" i="2" l="1"/>
  <c r="A7" i="2" s="1"/>
  <c r="A8" i="2" s="1"/>
  <c r="A9" i="2" l="1"/>
  <c r="A10" i="2" l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</calcChain>
</file>

<file path=xl/sharedStrings.xml><?xml version="1.0" encoding="utf-8"?>
<sst xmlns="http://schemas.openxmlformats.org/spreadsheetml/2006/main" count="180" uniqueCount="100">
  <si>
    <t>SAMPLE
NUMBER</t>
  </si>
  <si>
    <t>DOX</t>
  </si>
  <si>
    <t>SAMPLE NAME</t>
  </si>
  <si>
    <t>Experiment Name</t>
  </si>
  <si>
    <t>Experiment Description</t>
  </si>
  <si>
    <t>Designed by</t>
  </si>
  <si>
    <t>Performed by</t>
  </si>
  <si>
    <t>Beads</t>
  </si>
  <si>
    <t>A</t>
  </si>
  <si>
    <t>B</t>
  </si>
  <si>
    <t>C</t>
  </si>
  <si>
    <t>D</t>
  </si>
  <si>
    <t>E</t>
  </si>
  <si>
    <t>F</t>
  </si>
  <si>
    <t>Condition Key 1</t>
  </si>
  <si>
    <t>Sample Column Name:</t>
  </si>
  <si>
    <t>Explanation</t>
  </si>
  <si>
    <t>Short code</t>
  </si>
  <si>
    <t>Condition Key 2</t>
  </si>
  <si>
    <t>Condition Key 3</t>
  </si>
  <si>
    <t>EXPERIMENT COMPONENTS</t>
  </si>
  <si>
    <t>Required</t>
  </si>
  <si>
    <t>Shortened Key</t>
  </si>
  <si>
    <r>
      <rPr>
        <b/>
        <sz val="12"/>
        <color theme="1"/>
        <rFont val="Calibri"/>
        <family val="2"/>
        <scheme val="minor"/>
      </rPr>
      <t>Optional</t>
    </r>
    <r>
      <rPr>
        <sz val="12"/>
        <color theme="1"/>
        <rFont val="Calibri"/>
        <family val="2"/>
        <scheme val="minor"/>
      </rPr>
      <t>: For personal reference only, which means it is not used in any TASBE procedure</t>
    </r>
  </si>
  <si>
    <r>
      <rPr>
        <b/>
        <sz val="12"/>
        <color theme="1"/>
        <rFont val="Calibri"/>
        <family val="2"/>
        <scheme val="minor"/>
      </rPr>
      <t>Optional</t>
    </r>
    <r>
      <rPr>
        <sz val="12"/>
        <color theme="1"/>
        <rFont val="Calibri"/>
        <family val="2"/>
        <scheme val="minor"/>
      </rPr>
      <t>: Input relevant names. For personal reference only</t>
    </r>
  </si>
  <si>
    <r>
      <rPr>
        <b/>
        <sz val="12"/>
        <color theme="1"/>
        <rFont val="Calibri"/>
        <family val="2"/>
        <scheme val="minor"/>
      </rPr>
      <t>Optional</t>
    </r>
    <r>
      <rPr>
        <sz val="12"/>
        <color theme="1"/>
        <rFont val="Calibri"/>
        <family val="2"/>
        <scheme val="minor"/>
      </rPr>
      <t>: Explain columns in "Samples". For personal reference only</t>
    </r>
  </si>
  <si>
    <t>DOSE</t>
  </si>
  <si>
    <t>BaseDox</t>
  </si>
  <si>
    <t>+</t>
  </si>
  <si>
    <t>-</t>
  </si>
  <si>
    <t>Low</t>
  </si>
  <si>
    <t>High</t>
  </si>
  <si>
    <t xml:space="preserve">Experimental Conditions (one per column, can vary). </t>
  </si>
  <si>
    <t>Group</t>
  </si>
  <si>
    <t>Medium</t>
  </si>
  <si>
    <t>10xDox</t>
  </si>
  <si>
    <r>
      <rPr>
        <b/>
        <sz val="12"/>
        <color theme="1"/>
        <rFont val="Calibri"/>
        <family val="2"/>
        <scheme val="minor"/>
      </rPr>
      <t>Required:</t>
    </r>
    <r>
      <rPr>
        <sz val="12"/>
        <color theme="1"/>
        <rFont val="Calibri"/>
        <family val="2"/>
        <scheme val="minor"/>
      </rPr>
      <t xml:space="preserve"> Used to run analysis</t>
    </r>
  </si>
  <si>
    <r>
      <rPr>
        <b/>
        <sz val="11"/>
        <color theme="1"/>
        <rFont val="Calibri"/>
        <family val="2"/>
        <scheme val="minor"/>
      </rPr>
      <t>Required</t>
    </r>
    <r>
      <rPr>
        <sz val="11"/>
        <color theme="1"/>
        <rFont val="Calibri"/>
        <family val="2"/>
        <scheme val="minor"/>
      </rPr>
      <t>: Manually input for plots</t>
    </r>
  </si>
  <si>
    <r>
      <rPr>
        <b/>
        <sz val="11"/>
        <color theme="1"/>
        <rFont val="Calibri"/>
        <family val="2"/>
        <scheme val="minor"/>
      </rPr>
      <t>Required</t>
    </r>
    <r>
      <rPr>
        <sz val="11"/>
        <color theme="1"/>
        <rFont val="Calibri"/>
        <family val="2"/>
        <scheme val="minor"/>
      </rPr>
      <t>: Determines filename template</t>
    </r>
  </si>
  <si>
    <r>
      <rPr>
        <b/>
        <sz val="11"/>
        <color theme="1"/>
        <rFont val="Calibri"/>
        <family val="2"/>
        <scheme val="minor"/>
      </rPr>
      <t>Optional</t>
    </r>
    <r>
      <rPr>
        <sz val="11"/>
        <color theme="1"/>
        <rFont val="Calibri"/>
        <family val="2"/>
        <scheme val="minor"/>
      </rPr>
      <t xml:space="preserve">: Often used for filenames </t>
    </r>
  </si>
  <si>
    <r>
      <rPr>
        <b/>
        <sz val="11"/>
        <color theme="1"/>
        <rFont val="Calibri"/>
        <family val="2"/>
        <scheme val="minor"/>
      </rPr>
      <t>Required</t>
    </r>
    <r>
      <rPr>
        <sz val="11"/>
        <color theme="1"/>
        <rFont val="Calibri"/>
        <family val="2"/>
        <scheme val="minor"/>
      </rPr>
      <t>: Input 'X' if applicable</t>
    </r>
  </si>
  <si>
    <r>
      <t>Required</t>
    </r>
    <r>
      <rPr>
        <sz val="12"/>
        <color theme="1"/>
        <rFont val="Calibri"/>
        <family val="2"/>
        <scheme val="minor"/>
      </rPr>
      <t xml:space="preserve">: Click the "Update Filenames" button to generate sample filenames. </t>
    </r>
    <r>
      <rPr>
        <b/>
        <sz val="12"/>
        <color theme="1"/>
        <rFont val="Calibri"/>
        <family val="2"/>
        <scheme val="minor"/>
      </rPr>
      <t>Make sure to click before running analyzeFromExcel.</t>
    </r>
  </si>
  <si>
    <r>
      <t xml:space="preserve">Note: This sheet contains all of the experiment overview information. Reference Excel README for more information. </t>
    </r>
    <r>
      <rPr>
        <b/>
        <sz val="14"/>
        <color theme="5" tint="-0.249977111117893"/>
        <rFont val="Calibri"/>
        <family val="2"/>
        <scheme val="minor"/>
      </rPr>
      <t>Sheet is protected!</t>
    </r>
  </si>
  <si>
    <r>
      <rPr>
        <b/>
        <sz val="11"/>
        <color theme="1"/>
        <rFont val="Calibri"/>
        <family val="2"/>
        <scheme val="minor"/>
      </rPr>
      <t>Optional</t>
    </r>
    <r>
      <rPr>
        <sz val="11"/>
        <color theme="1"/>
        <rFont val="Calibri"/>
        <family val="2"/>
        <scheme val="minor"/>
      </rPr>
      <t>: Determines which plate to populate. SAMPLE LOCATION(s) col needed (sheetName,plateName)</t>
    </r>
  </si>
  <si>
    <t xml:space="preserve">Note: This sheet lists out the samples and their corresponding conditions. It is also used for batch analysis. Replicates should share rows with commas separating distinct values (#,#,#). Reference Excel README for more information. </t>
  </si>
  <si>
    <t>Test 0.01</t>
  </si>
  <si>
    <t>Test 0.02</t>
  </si>
  <si>
    <t>Test 0.05</t>
  </si>
  <si>
    <t>Test 0.1</t>
  </si>
  <si>
    <t>Test 0.2</t>
  </si>
  <si>
    <t>Test 0.5</t>
  </si>
  <si>
    <t>Test 1</t>
  </si>
  <si>
    <t>Test 2</t>
  </si>
  <si>
    <t>Test 5</t>
  </si>
  <si>
    <t>Test 10</t>
  </si>
  <si>
    <t>Test 20</t>
  </si>
  <si>
    <t>Test 50</t>
  </si>
  <si>
    <t>Test 100</t>
  </si>
  <si>
    <t>Test 200</t>
  </si>
  <si>
    <t>Test 500</t>
  </si>
  <si>
    <t>Test 1000</t>
  </si>
  <si>
    <t>Test 2000</t>
  </si>
  <si>
    <t>Test 5000</t>
  </si>
  <si>
    <t>red</t>
  </si>
  <si>
    <t>blue</t>
  </si>
  <si>
    <t>GFP</t>
  </si>
  <si>
    <t>Blank</t>
  </si>
  <si>
    <t>collection:</t>
    <phoneticPr fontId="0" type="noConversion"/>
  </si>
  <si>
    <t>Unit:</t>
    <phoneticPr fontId="0" type="noConversion"/>
  </si>
  <si>
    <t>ng</t>
    <phoneticPr fontId="0" type="noConversion"/>
  </si>
  <si>
    <t>Sum</t>
    <phoneticPr fontId="0" type="noConversion"/>
  </si>
  <si>
    <t>Plasmid Number</t>
    <phoneticPr fontId="0" type="noConversion"/>
  </si>
  <si>
    <t>Plasmid Description</t>
    <phoneticPr fontId="0" type="noConversion"/>
  </si>
  <si>
    <t>URL</t>
    <phoneticPr fontId="0" type="noConversion"/>
  </si>
  <si>
    <t>pBW465</t>
    <phoneticPr fontId="0" type="noConversion"/>
  </si>
  <si>
    <r>
      <rPr>
        <b/>
        <sz val="12"/>
        <color rgb="FFFF0000"/>
        <rFont val="Arial"/>
        <family val="2"/>
      </rPr>
      <t>CFP</t>
    </r>
    <r>
      <rPr>
        <sz val="12"/>
        <color theme="1"/>
        <rFont val="Arial"/>
        <family val="2"/>
      </rPr>
      <t xml:space="preserve"> (pCAG-mRuby)</t>
    </r>
  </si>
  <si>
    <t>https://synbiohub.org/user/chenmzh/JHT6demochenmzh/pBW465/1</t>
    <phoneticPr fontId="0" type="noConversion"/>
  </si>
  <si>
    <t>pBW2139</t>
    <phoneticPr fontId="0" type="noConversion"/>
  </si>
  <si>
    <r>
      <rPr>
        <b/>
        <sz val="12"/>
        <color rgb="FF0070C0"/>
        <rFont val="Arial"/>
        <family val="2"/>
      </rPr>
      <t>IFP</t>
    </r>
    <r>
      <rPr>
        <sz val="12"/>
        <color theme="1"/>
        <rFont val="Arial"/>
        <family val="2"/>
      </rPr>
      <t xml:space="preserve"> (TRE-BFP)</t>
    </r>
  </si>
  <si>
    <t>https://synbiohub.org/user/chenmzh/JHT6demochenmzh/pBW2139/1</t>
    <phoneticPr fontId="0" type="noConversion"/>
  </si>
  <si>
    <t>pBW339</t>
    <phoneticPr fontId="0" type="noConversion"/>
  </si>
  <si>
    <r>
      <rPr>
        <b/>
        <sz val="12"/>
        <color rgb="FF00B050"/>
        <rFont val="Arial"/>
        <family val="2"/>
      </rPr>
      <t>OFP</t>
    </r>
    <r>
      <rPr>
        <sz val="12"/>
        <color theme="1"/>
        <rFont val="Arial"/>
        <family val="2"/>
      </rPr>
      <t xml:space="preserve"> (FSF-GFP)</t>
    </r>
  </si>
  <si>
    <t>https://synbiohub.org/user/chenmzh/JHT6demochenmzh/pBW339/1</t>
    <phoneticPr fontId="0" type="noConversion"/>
  </si>
  <si>
    <t>pBW586</t>
    <phoneticPr fontId="0" type="noConversion"/>
  </si>
  <si>
    <t>pEF-rtTA</t>
  </si>
  <si>
    <t>https://synbiohub.org/user/chenmzh/JHT6demochenmzh/pBW586/1</t>
    <phoneticPr fontId="0" type="noConversion"/>
  </si>
  <si>
    <t>pBW2909</t>
  </si>
  <si>
    <t>TRE-Flp-FF4</t>
  </si>
  <si>
    <t>https://synbiohub.org/user/chenmzh/JHT6demochenmzh/pBW363/1</t>
    <phoneticPr fontId="0" type="noConversion"/>
  </si>
  <si>
    <t>pLC41</t>
  </si>
  <si>
    <t>hU6-shFF4</t>
  </si>
  <si>
    <t>pLC20</t>
  </si>
  <si>
    <t>hU6-tetO-shFF4</t>
  </si>
  <si>
    <t>BW363</t>
  </si>
  <si>
    <t>BLANK</t>
  </si>
  <si>
    <t>https://synbiohub.org/user/chenmzh/JHT6demochenmzh/pLC41/1</t>
    <phoneticPr fontId="0" type="noConversion"/>
  </si>
  <si>
    <t>regression</t>
  </si>
  <si>
    <t>Code</t>
  </si>
  <si>
    <t>Dasha Veraksa</t>
  </si>
  <si>
    <t>Test Experiment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</si>
</sst>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rgb="FF7030A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name val="Calibri"/>
      <family val="2"/>
      <scheme val="minor"/>
    </font>
    <font>
      <sz val="12"/>
      <name val="Calibri"/>
      <family val="2"/>
      <scheme val="minor"/>
    </font>
    <font>
      <sz val="12"/>
      <color rgb="FFFF0000"/>
      <name val="Calibri"/>
      <family val="2"/>
    </font>
    <font>
      <b/>
      <sz val="14"/>
      <color theme="5" tint="-0.249977111117893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color rgb="FF008000"/>
      <name val="Calibri"/>
      <family val="2"/>
      <scheme val="minor"/>
    </font>
    <font>
      <sz val="12"/>
      <color rgb="FFE67E00"/>
      <name val="Calibri"/>
      <family val="2"/>
      <scheme val="minor"/>
    </font>
    <font>
      <sz val="12"/>
      <color rgb="FF000000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0"/>
      <name val="Arial"/>
      <family val="2"/>
    </font>
    <font>
      <sz val="12"/>
      <color theme="1"/>
      <name val="Arial"/>
      <family val="2"/>
    </font>
    <font>
      <sz val="12"/>
      <color theme="1"/>
      <name val="Arial "/>
      <family val="2"/>
      <charset val="134"/>
    </font>
    <font>
      <b/>
      <sz val="12"/>
      <color rgb="FFFF0000"/>
      <name val="Arial"/>
      <family val="2"/>
    </font>
    <font>
      <b/>
      <sz val="12"/>
      <color rgb="FF0070C0"/>
      <name val="Arial"/>
      <family val="2"/>
    </font>
    <font>
      <b/>
      <sz val="12"/>
      <color rgb="FF00B05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C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 tint="4.9989318521683403E-2"/>
        <bgColor indexed="64"/>
      </patternFill>
    </fill>
  </fills>
  <borders count="52">
    <border>
      <left/>
      <right/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ck">
        <color auto="1"/>
      </top>
      <bottom/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19" fillId="0" borderId="0" applyNumberFormat="0" applyFill="0" applyBorder="0" applyAlignment="0" applyProtection="0"/>
  </cellStyleXfs>
  <cellXfs count="176">
    <xf numFmtId="0" fontId="0" fillId="0" borderId="0" xfId="0"/>
    <xf numFmtId="0" fontId="0" fillId="0" borderId="0" xfId="0" applyFont="1" applyProtection="1">
      <protection locked="0"/>
    </xf>
    <xf numFmtId="0" fontId="0" fillId="0" borderId="0" xfId="0" applyFont="1" applyFill="1" applyBorder="1" applyProtection="1">
      <protection locked="0"/>
    </xf>
    <xf numFmtId="0" fontId="5" fillId="0" borderId="6" xfId="0" applyFont="1" applyFill="1" applyBorder="1" applyAlignment="1" applyProtection="1">
      <alignment horizontal="center" vertical="center"/>
      <protection locked="0"/>
    </xf>
    <xf numFmtId="0" fontId="0" fillId="3" borderId="2" xfId="0" applyFont="1" applyFill="1" applyBorder="1" applyAlignment="1" applyProtection="1">
      <alignment horizontal="center" vertical="center"/>
      <protection locked="0"/>
    </xf>
    <xf numFmtId="0" fontId="0" fillId="0" borderId="2" xfId="0" applyFont="1" applyFill="1" applyBorder="1" applyAlignment="1" applyProtection="1">
      <alignment horizontal="center" vertical="center"/>
      <protection locked="0"/>
    </xf>
    <xf numFmtId="0" fontId="0" fillId="0" borderId="2" xfId="0" applyFont="1" applyBorder="1" applyAlignment="1" applyProtection="1">
      <alignment horizontal="center" vertical="center" wrapText="1" shrinkToFit="1"/>
      <protection locked="0"/>
    </xf>
    <xf numFmtId="49" fontId="0" fillId="3" borderId="2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5" fillId="0" borderId="0" xfId="0" applyFont="1" applyFill="1" applyBorder="1" applyAlignment="1" applyProtection="1">
      <alignment vertical="center"/>
      <protection locked="0"/>
    </xf>
    <xf numFmtId="49" fontId="6" fillId="4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7" borderId="2" xfId="0" applyFont="1" applyFill="1" applyBorder="1" applyAlignment="1" applyProtection="1">
      <alignment horizontal="center" vertical="center"/>
      <protection locked="0"/>
    </xf>
    <xf numFmtId="0" fontId="5" fillId="0" borderId="10" xfId="0" applyFont="1" applyFill="1" applyBorder="1" applyAlignment="1" applyProtection="1">
      <alignment horizontal="center" vertical="center"/>
      <protection locked="0"/>
    </xf>
    <xf numFmtId="0" fontId="5" fillId="0" borderId="8" xfId="0" applyFont="1" applyBorder="1" applyAlignment="1" applyProtection="1">
      <alignment horizontal="center" vertical="center"/>
      <protection locked="0"/>
    </xf>
    <xf numFmtId="0" fontId="0" fillId="3" borderId="8" xfId="0" applyFont="1" applyFill="1" applyBorder="1" applyAlignment="1" applyProtection="1">
      <alignment horizontal="center" vertical="center"/>
      <protection locked="0"/>
    </xf>
    <xf numFmtId="0" fontId="0" fillId="0" borderId="8" xfId="0" applyFont="1" applyFill="1" applyBorder="1" applyAlignment="1" applyProtection="1">
      <alignment horizontal="center" vertical="center"/>
      <protection locked="0"/>
    </xf>
    <xf numFmtId="0" fontId="0" fillId="0" borderId="8" xfId="0" applyFont="1" applyBorder="1" applyAlignment="1" applyProtection="1">
      <alignment horizontal="center" vertical="center" wrapText="1" shrinkToFit="1"/>
      <protection locked="0"/>
    </xf>
    <xf numFmtId="0" fontId="0" fillId="7" borderId="8" xfId="0" applyFont="1" applyFill="1" applyBorder="1" applyAlignment="1" applyProtection="1">
      <alignment horizontal="center" vertical="center"/>
      <protection locked="0"/>
    </xf>
    <xf numFmtId="0" fontId="0" fillId="0" borderId="0" xfId="0" applyFont="1" applyAlignment="1" applyProtection="1">
      <alignment vertical="center"/>
      <protection locked="0"/>
    </xf>
    <xf numFmtId="0" fontId="0" fillId="0" borderId="0" xfId="0" applyNumberFormat="1" applyFont="1" applyAlignment="1" applyProtection="1">
      <alignment vertical="center"/>
      <protection locked="0"/>
    </xf>
    <xf numFmtId="2" fontId="0" fillId="0" borderId="0" xfId="0" applyNumberFormat="1" applyFont="1" applyAlignment="1" applyProtection="1">
      <alignment vertical="center"/>
      <protection locked="0"/>
    </xf>
    <xf numFmtId="49" fontId="0" fillId="0" borderId="0" xfId="0" applyNumberFormat="1" applyFont="1" applyAlignment="1" applyProtection="1">
      <alignment vertical="center"/>
      <protection locked="0"/>
    </xf>
    <xf numFmtId="0" fontId="0" fillId="0" borderId="0" xfId="0" applyNumberFormat="1" applyFont="1" applyFill="1" applyBorder="1" applyAlignment="1" applyProtection="1">
      <alignment horizontal="left" vertical="center" wrapText="1"/>
      <protection locked="0"/>
    </xf>
    <xf numFmtId="0" fontId="0" fillId="0" borderId="0" xfId="0" applyFont="1" applyFill="1" applyBorder="1" applyAlignment="1" applyProtection="1">
      <alignment horizontal="left" vertical="center" wrapText="1"/>
      <protection locked="0"/>
    </xf>
    <xf numFmtId="49" fontId="0" fillId="0" borderId="0" xfId="0" applyNumberFormat="1" applyFont="1" applyFill="1" applyBorder="1" applyAlignment="1" applyProtection="1">
      <alignment horizontal="left" vertical="center" wrapText="1"/>
      <protection locked="0"/>
    </xf>
    <xf numFmtId="0" fontId="5" fillId="3" borderId="6" xfId="0" applyNumberFormat="1" applyFont="1" applyFill="1" applyBorder="1" applyAlignment="1" applyProtection="1">
      <alignment horizontal="center" vertical="center"/>
      <protection locked="0"/>
    </xf>
    <xf numFmtId="0" fontId="5" fillId="3" borderId="9" xfId="0" applyFont="1" applyFill="1" applyBorder="1" applyAlignment="1" applyProtection="1">
      <alignment horizontal="center" vertical="center"/>
      <protection locked="0"/>
    </xf>
    <xf numFmtId="0" fontId="0" fillId="0" borderId="0" xfId="0" applyFont="1" applyBorder="1" applyAlignment="1" applyProtection="1">
      <alignment vertical="center"/>
      <protection locked="0"/>
    </xf>
    <xf numFmtId="0" fontId="0" fillId="0" borderId="0" xfId="0" applyFont="1" applyBorder="1" applyAlignment="1" applyProtection="1">
      <alignment vertical="center" wrapText="1"/>
      <protection locked="0"/>
    </xf>
    <xf numFmtId="0" fontId="5" fillId="2" borderId="6" xfId="0" applyNumberFormat="1" applyFont="1" applyFill="1" applyBorder="1" applyAlignment="1" applyProtection="1">
      <alignment horizontal="center" vertical="center"/>
      <protection locked="0"/>
    </xf>
    <xf numFmtId="0" fontId="5" fillId="2" borderId="9" xfId="0" applyFont="1" applyFill="1" applyBorder="1" applyAlignment="1" applyProtection="1">
      <alignment horizontal="center" vertical="center"/>
      <protection locked="0"/>
    </xf>
    <xf numFmtId="0" fontId="0" fillId="0" borderId="6" xfId="0" applyFont="1" applyBorder="1" applyAlignment="1" applyProtection="1">
      <alignment horizontal="center" vertical="center"/>
      <protection locked="0"/>
    </xf>
    <xf numFmtId="49" fontId="0" fillId="0" borderId="2" xfId="0" applyNumberFormat="1" applyFont="1" applyBorder="1" applyAlignment="1" applyProtection="1">
      <alignment horizontal="center" vertical="center"/>
      <protection locked="0"/>
    </xf>
    <xf numFmtId="0" fontId="0" fillId="0" borderId="2" xfId="0" applyFont="1" applyBorder="1" applyAlignment="1" applyProtection="1">
      <alignment horizontal="center" vertical="center"/>
      <protection locked="0"/>
    </xf>
    <xf numFmtId="0" fontId="12" fillId="0" borderId="6" xfId="0" applyNumberFormat="1" applyFont="1" applyBorder="1" applyAlignment="1" applyProtection="1">
      <alignment horizontal="center" vertical="center"/>
      <protection locked="0"/>
    </xf>
    <xf numFmtId="0" fontId="12" fillId="0" borderId="9" xfId="0" applyFont="1" applyBorder="1" applyAlignment="1" applyProtection="1">
      <alignment horizontal="center" vertical="center"/>
      <protection locked="0"/>
    </xf>
    <xf numFmtId="0" fontId="0" fillId="0" borderId="2" xfId="0" applyFont="1" applyBorder="1" applyAlignment="1" applyProtection="1">
      <alignment horizontal="center" vertical="center" wrapText="1"/>
      <protection locked="0"/>
    </xf>
    <xf numFmtId="0" fontId="5" fillId="0" borderId="0" xfId="0" applyFont="1" applyBorder="1" applyAlignment="1" applyProtection="1">
      <alignment vertical="center"/>
      <protection locked="0"/>
    </xf>
    <xf numFmtId="0" fontId="0" fillId="0" borderId="10" xfId="0" applyFont="1" applyBorder="1" applyAlignment="1" applyProtection="1">
      <alignment horizontal="center" vertical="center"/>
      <protection locked="0"/>
    </xf>
    <xf numFmtId="49" fontId="0" fillId="0" borderId="8" xfId="0" applyNumberFormat="1" applyFont="1" applyBorder="1" applyAlignment="1" applyProtection="1">
      <alignment horizontal="center" vertical="center"/>
      <protection locked="0"/>
    </xf>
    <xf numFmtId="0" fontId="0" fillId="0" borderId="8" xfId="0" applyFont="1" applyBorder="1" applyAlignment="1" applyProtection="1">
      <alignment horizontal="center" vertical="center"/>
      <protection locked="0"/>
    </xf>
    <xf numFmtId="0" fontId="9" fillId="0" borderId="0" xfId="0" applyFont="1" applyBorder="1" applyAlignment="1" applyProtection="1">
      <alignment horizontal="center" vertical="center"/>
      <protection locked="0"/>
    </xf>
    <xf numFmtId="0" fontId="12" fillId="0" borderId="10" xfId="0" applyNumberFormat="1" applyFont="1" applyBorder="1" applyAlignment="1" applyProtection="1">
      <alignment horizontal="center" vertical="center"/>
      <protection locked="0"/>
    </xf>
    <xf numFmtId="0" fontId="12" fillId="0" borderId="11" xfId="0" applyFont="1" applyBorder="1" applyAlignment="1" applyProtection="1">
      <alignment horizontal="center" vertical="center" wrapText="1"/>
      <protection locked="0"/>
    </xf>
    <xf numFmtId="0" fontId="5" fillId="0" borderId="0" xfId="0" applyNumberFormat="1" applyFont="1" applyBorder="1" applyAlignment="1" applyProtection="1">
      <alignment vertical="center"/>
      <protection locked="0"/>
    </xf>
    <xf numFmtId="0" fontId="5" fillId="0" borderId="0" xfId="0" applyFont="1" applyBorder="1" applyAlignment="1" applyProtection="1">
      <alignment horizontal="left" vertical="center" wrapText="1"/>
      <protection locked="0"/>
    </xf>
    <xf numFmtId="0" fontId="0" fillId="0" borderId="0" xfId="0" applyFont="1" applyBorder="1" applyAlignment="1" applyProtection="1">
      <alignment horizontal="center" vertical="center"/>
      <protection locked="0"/>
    </xf>
    <xf numFmtId="49" fontId="0" fillId="0" borderId="0" xfId="0" applyNumberFormat="1" applyFont="1" applyBorder="1" applyAlignment="1" applyProtection="1">
      <alignment horizontal="center" vertical="center"/>
      <protection locked="0"/>
    </xf>
    <xf numFmtId="0" fontId="5" fillId="3" borderId="6" xfId="0" applyNumberFormat="1" applyFont="1" applyFill="1" applyBorder="1" applyAlignment="1" applyProtection="1">
      <alignment horizontal="center" vertical="center"/>
    </xf>
    <xf numFmtId="0" fontId="5" fillId="2" borderId="6" xfId="0" applyNumberFormat="1" applyFont="1" applyFill="1" applyBorder="1" applyAlignment="1" applyProtection="1">
      <alignment horizontal="center" vertical="center"/>
    </xf>
    <xf numFmtId="0" fontId="5" fillId="2" borderId="9" xfId="0" applyFont="1" applyFill="1" applyBorder="1" applyAlignment="1" applyProtection="1">
      <alignment horizontal="center" vertical="center"/>
    </xf>
    <xf numFmtId="0" fontId="8" fillId="2" borderId="2" xfId="0" applyFont="1" applyFill="1" applyBorder="1" applyAlignment="1" applyProtection="1">
      <alignment horizontal="center" vertical="center" wrapText="1"/>
    </xf>
    <xf numFmtId="0" fontId="7" fillId="6" borderId="7" xfId="0" applyFont="1" applyFill="1" applyBorder="1" applyAlignment="1" applyProtection="1">
      <alignment horizontal="center" vertical="center"/>
      <protection locked="0"/>
    </xf>
    <xf numFmtId="49" fontId="6" fillId="4" borderId="6" xfId="0" applyNumberFormat="1" applyFont="1" applyFill="1" applyBorder="1" applyAlignment="1" applyProtection="1">
      <alignment horizontal="center" vertical="center" wrapText="1"/>
      <protection locked="0"/>
    </xf>
    <xf numFmtId="0" fontId="2" fillId="6" borderId="5" xfId="0" applyFont="1" applyFill="1" applyBorder="1" applyAlignment="1" applyProtection="1">
      <alignment horizontal="center" vertical="center" wrapText="1"/>
      <protection locked="0"/>
    </xf>
    <xf numFmtId="0" fontId="0" fillId="0" borderId="39" xfId="0" applyFont="1" applyBorder="1" applyProtection="1">
      <protection locked="0"/>
    </xf>
    <xf numFmtId="0" fontId="0" fillId="0" borderId="34" xfId="0" applyFont="1" applyBorder="1" applyProtection="1">
      <protection locked="0"/>
    </xf>
    <xf numFmtId="0" fontId="0" fillId="0" borderId="35" xfId="0" applyBorder="1" applyProtection="1"/>
    <xf numFmtId="0" fontId="0" fillId="0" borderId="1" xfId="0" applyBorder="1" applyProtection="1"/>
    <xf numFmtId="0" fontId="0" fillId="0" borderId="29" xfId="0" applyBorder="1" applyProtection="1">
      <protection locked="0"/>
    </xf>
    <xf numFmtId="0" fontId="0" fillId="0" borderId="30" xfId="0" applyBorder="1" applyProtection="1">
      <protection locked="0"/>
    </xf>
    <xf numFmtId="0" fontId="0" fillId="0" borderId="2" xfId="0" applyBorder="1" applyProtection="1">
      <protection locked="0"/>
    </xf>
    <xf numFmtId="0" fontId="0" fillId="0" borderId="9" xfId="0" applyBorder="1" applyProtection="1">
      <protection locked="0"/>
    </xf>
    <xf numFmtId="0" fontId="0" fillId="0" borderId="8" xfId="0" applyBorder="1" applyProtection="1">
      <protection locked="0"/>
    </xf>
    <xf numFmtId="0" fontId="0" fillId="0" borderId="11" xfId="0" applyBorder="1" applyProtection="1">
      <protection locked="0"/>
    </xf>
    <xf numFmtId="0" fontId="16" fillId="0" borderId="0" xfId="0" applyFont="1"/>
    <xf numFmtId="0" fontId="17" fillId="0" borderId="0" xfId="0" applyFont="1"/>
    <xf numFmtId="0" fontId="15" fillId="0" borderId="0" xfId="0" applyFont="1"/>
    <xf numFmtId="0" fontId="5" fillId="0" borderId="40" xfId="0" applyFont="1" applyFill="1" applyBorder="1" applyAlignment="1" applyProtection="1">
      <alignment horizontal="center" vertical="center"/>
      <protection locked="0"/>
    </xf>
    <xf numFmtId="0" fontId="5" fillId="0" borderId="39" xfId="0" applyFont="1" applyBorder="1" applyAlignment="1" applyProtection="1">
      <alignment horizontal="center" vertical="center"/>
      <protection locked="0"/>
    </xf>
    <xf numFmtId="0" fontId="0" fillId="3" borderId="39" xfId="0" applyFont="1" applyFill="1" applyBorder="1" applyAlignment="1" applyProtection="1">
      <alignment horizontal="center" vertical="center"/>
      <protection locked="0"/>
    </xf>
    <xf numFmtId="0" fontId="0" fillId="0" borderId="39" xfId="0" applyFont="1" applyFill="1" applyBorder="1" applyAlignment="1" applyProtection="1">
      <alignment horizontal="center" vertical="center"/>
      <protection locked="0"/>
    </xf>
    <xf numFmtId="0" fontId="0" fillId="0" borderId="39" xfId="0" applyFont="1" applyBorder="1" applyAlignment="1" applyProtection="1">
      <alignment horizontal="center" vertical="center" wrapText="1" shrinkToFit="1"/>
      <protection locked="0"/>
    </xf>
    <xf numFmtId="0" fontId="0" fillId="7" borderId="39" xfId="0" applyFont="1" applyFill="1" applyBorder="1" applyAlignment="1" applyProtection="1">
      <alignment horizontal="center" vertical="center"/>
      <protection locked="0"/>
    </xf>
    <xf numFmtId="0" fontId="0" fillId="0" borderId="39" xfId="0" applyBorder="1" applyProtection="1">
      <protection locked="0"/>
    </xf>
    <xf numFmtId="0" fontId="0" fillId="0" borderId="34" xfId="0" applyBorder="1" applyProtection="1">
      <protection locked="0"/>
    </xf>
    <xf numFmtId="0" fontId="0" fillId="0" borderId="41" xfId="0" applyBorder="1" applyProtection="1">
      <protection locked="0"/>
    </xf>
    <xf numFmtId="0" fontId="5" fillId="2" borderId="2" xfId="0" applyFont="1" applyFill="1" applyBorder="1" applyAlignment="1" applyProtection="1">
      <alignment horizontal="center" vertical="center" wrapText="1"/>
    </xf>
    <xf numFmtId="0" fontId="0" fillId="0" borderId="40" xfId="0" applyFont="1" applyBorder="1" applyAlignment="1" applyProtection="1">
      <alignment horizontal="center" vertical="center"/>
      <protection locked="0"/>
    </xf>
    <xf numFmtId="49" fontId="0" fillId="0" borderId="39" xfId="0" applyNumberFormat="1" applyFont="1" applyBorder="1" applyAlignment="1" applyProtection="1">
      <alignment horizontal="center" vertical="center"/>
      <protection locked="0"/>
    </xf>
    <xf numFmtId="0" fontId="0" fillId="0" borderId="39" xfId="0" applyFont="1" applyBorder="1" applyAlignment="1" applyProtection="1">
      <alignment horizontal="center" vertical="center"/>
      <protection locked="0"/>
    </xf>
    <xf numFmtId="0" fontId="0" fillId="0" borderId="39" xfId="0" applyFont="1" applyBorder="1" applyAlignment="1" applyProtection="1">
      <alignment horizontal="center" vertical="center" wrapText="1"/>
      <protection locked="0"/>
    </xf>
    <xf numFmtId="0" fontId="0" fillId="0" borderId="41" xfId="0" applyBorder="1" applyProtection="1"/>
    <xf numFmtId="0" fontId="0" fillId="0" borderId="22" xfId="0" applyBorder="1" applyProtection="1"/>
    <xf numFmtId="0" fontId="18" fillId="0" borderId="0" xfId="0" applyFont="1"/>
    <xf numFmtId="0" fontId="5" fillId="0" borderId="2" xfId="0" applyFont="1" applyBorder="1" applyAlignment="1" applyProtection="1">
      <alignment horizontal="center" vertical="center"/>
      <protection locked="0"/>
    </xf>
    <xf numFmtId="0" fontId="3" fillId="6" borderId="5" xfId="0" applyFont="1" applyFill="1" applyBorder="1" applyAlignment="1" applyProtection="1">
      <alignment horizontal="center" vertical="center" wrapText="1"/>
      <protection locked="0"/>
    </xf>
    <xf numFmtId="0" fontId="20" fillId="8" borderId="0" xfId="0" applyFont="1" applyFill="1" applyAlignment="1">
      <alignment horizontal="center" vertical="center" wrapText="1"/>
    </xf>
    <xf numFmtId="0" fontId="21" fillId="0" borderId="49" xfId="0" applyFont="1" applyBorder="1" applyAlignment="1">
      <alignment horizontal="center" vertical="center" wrapText="1"/>
    </xf>
    <xf numFmtId="0" fontId="21" fillId="0" borderId="50" xfId="0" applyFont="1" applyBorder="1" applyAlignment="1">
      <alignment horizontal="center" vertical="center" wrapText="1"/>
    </xf>
    <xf numFmtId="0" fontId="21" fillId="5" borderId="51" xfId="0" applyFont="1" applyFill="1" applyBorder="1" applyAlignment="1">
      <alignment horizontal="center" vertical="center" wrapText="1"/>
    </xf>
    <xf numFmtId="0" fontId="21" fillId="0" borderId="2" xfId="0" applyFont="1" applyBorder="1" applyAlignment="1">
      <alignment horizontal="center" vertical="center" wrapText="1"/>
    </xf>
    <xf numFmtId="0" fontId="21" fillId="5" borderId="0" xfId="0" applyFont="1" applyFill="1" applyAlignment="1">
      <alignment horizontal="center" wrapText="1"/>
    </xf>
    <xf numFmtId="0" fontId="22" fillId="0" borderId="0" xfId="0" applyFont="1" applyAlignment="1">
      <alignment horizontal="center"/>
    </xf>
    <xf numFmtId="0" fontId="21" fillId="5" borderId="43" xfId="0" applyFont="1" applyFill="1" applyBorder="1" applyAlignment="1">
      <alignment horizontal="center" vertical="center" wrapText="1"/>
    </xf>
    <xf numFmtId="0" fontId="19" fillId="0" borderId="0" xfId="1"/>
    <xf numFmtId="0" fontId="21" fillId="5" borderId="45" xfId="0" applyFont="1" applyFill="1" applyBorder="1" applyAlignment="1">
      <alignment horizontal="center" vertical="center" wrapText="1"/>
    </xf>
    <xf numFmtId="0" fontId="21" fillId="0" borderId="0" xfId="0" applyFont="1" applyAlignment="1">
      <alignment horizontal="center" vertical="center" wrapText="1"/>
    </xf>
    <xf numFmtId="0" fontId="11" fillId="2" borderId="24" xfId="0" applyFont="1" applyFill="1" applyBorder="1" applyAlignment="1" applyProtection="1">
      <alignment horizontal="center" vertical="center"/>
      <protection locked="0"/>
    </xf>
    <xf numFmtId="0" fontId="11" fillId="2" borderId="25" xfId="0" applyFont="1" applyFill="1" applyBorder="1" applyAlignment="1" applyProtection="1">
      <alignment horizontal="center" vertical="center"/>
      <protection locked="0"/>
    </xf>
    <xf numFmtId="0" fontId="0" fillId="6" borderId="28" xfId="0" applyFont="1" applyFill="1" applyBorder="1" applyAlignment="1" applyProtection="1">
      <alignment horizontal="center" vertical="center"/>
    </xf>
    <xf numFmtId="0" fontId="0" fillId="6" borderId="30" xfId="0" applyFont="1" applyFill="1" applyBorder="1" applyAlignment="1" applyProtection="1">
      <alignment horizontal="center" vertical="center"/>
    </xf>
    <xf numFmtId="0" fontId="0" fillId="6" borderId="29" xfId="0" applyFont="1" applyFill="1" applyBorder="1" applyAlignment="1" applyProtection="1">
      <alignment horizontal="center" vertical="center"/>
    </xf>
    <xf numFmtId="0" fontId="0" fillId="6" borderId="28" xfId="0" applyFont="1" applyFill="1" applyBorder="1" applyAlignment="1" applyProtection="1">
      <alignment horizontal="center" vertical="center" wrapText="1"/>
    </xf>
    <xf numFmtId="0" fontId="0" fillId="6" borderId="29" xfId="0" applyFont="1" applyFill="1" applyBorder="1" applyAlignment="1" applyProtection="1">
      <alignment horizontal="center" vertical="center" wrapText="1"/>
    </xf>
    <xf numFmtId="0" fontId="0" fillId="6" borderId="30" xfId="0" applyFont="1" applyFill="1" applyBorder="1" applyAlignment="1" applyProtection="1">
      <alignment horizontal="center" vertical="center" wrapText="1"/>
    </xf>
    <xf numFmtId="0" fontId="6" fillId="2" borderId="33" xfId="0" applyFont="1" applyFill="1" applyBorder="1" applyAlignment="1" applyProtection="1">
      <alignment horizontal="center" vertical="center" wrapText="1"/>
    </xf>
    <xf numFmtId="0" fontId="6" fillId="2" borderId="3" xfId="0" applyFont="1" applyFill="1" applyBorder="1" applyAlignment="1" applyProtection="1">
      <alignment horizontal="center" vertical="center" wrapText="1"/>
    </xf>
    <xf numFmtId="0" fontId="6" fillId="2" borderId="21" xfId="0" applyFont="1" applyFill="1" applyBorder="1" applyAlignment="1" applyProtection="1">
      <alignment horizontal="center" vertical="center" wrapText="1"/>
    </xf>
    <xf numFmtId="0" fontId="6" fillId="2" borderId="20" xfId="0" applyFont="1" applyFill="1" applyBorder="1" applyAlignment="1" applyProtection="1">
      <alignment horizontal="center" vertical="center" wrapText="1"/>
    </xf>
    <xf numFmtId="0" fontId="5" fillId="3" borderId="26" xfId="0" applyFont="1" applyFill="1" applyBorder="1" applyAlignment="1" applyProtection="1">
      <alignment horizontal="center" vertical="center" wrapText="1"/>
      <protection locked="0"/>
    </xf>
    <xf numFmtId="0" fontId="5" fillId="3" borderId="22" xfId="0" applyFont="1" applyFill="1" applyBorder="1" applyAlignment="1" applyProtection="1">
      <alignment horizontal="center" vertical="center" wrapText="1"/>
      <protection locked="0"/>
    </xf>
    <xf numFmtId="0" fontId="5" fillId="3" borderId="23" xfId="0" applyFont="1" applyFill="1" applyBorder="1" applyAlignment="1" applyProtection="1">
      <alignment horizontal="center" vertical="center" wrapText="1"/>
      <protection locked="0"/>
    </xf>
    <xf numFmtId="0" fontId="5" fillId="3" borderId="19" xfId="0" applyFont="1" applyFill="1" applyBorder="1" applyAlignment="1" applyProtection="1">
      <alignment horizontal="center" vertical="center" wrapText="1"/>
      <protection locked="0"/>
    </xf>
    <xf numFmtId="0" fontId="11" fillId="2" borderId="33" xfId="0" applyFont="1" applyFill="1" applyBorder="1" applyAlignment="1" applyProtection="1">
      <alignment horizontal="center" vertical="center"/>
    </xf>
    <xf numFmtId="0" fontId="11" fillId="2" borderId="20" xfId="0" applyFont="1" applyFill="1" applyBorder="1" applyAlignment="1" applyProtection="1">
      <alignment horizontal="center" vertical="center"/>
    </xf>
    <xf numFmtId="0" fontId="0" fillId="3" borderId="26" xfId="0" applyFont="1" applyFill="1" applyBorder="1" applyAlignment="1" applyProtection="1">
      <alignment horizontal="center" vertical="center"/>
      <protection locked="0"/>
    </xf>
    <xf numFmtId="0" fontId="0" fillId="3" borderId="19" xfId="0" applyFont="1" applyFill="1" applyBorder="1" applyAlignment="1" applyProtection="1">
      <alignment horizontal="center" vertical="center"/>
      <protection locked="0"/>
    </xf>
    <xf numFmtId="0" fontId="0" fillId="0" borderId="39" xfId="0" applyFont="1" applyBorder="1" applyAlignment="1" applyProtection="1">
      <alignment horizontal="center" vertical="center" wrapText="1"/>
      <protection locked="0"/>
    </xf>
    <xf numFmtId="0" fontId="0" fillId="0" borderId="4" xfId="0" applyFont="1" applyBorder="1" applyAlignment="1" applyProtection="1">
      <alignment horizontal="center" vertical="center" wrapText="1"/>
      <protection locked="0"/>
    </xf>
    <xf numFmtId="0" fontId="0" fillId="0" borderId="18" xfId="0" applyFont="1" applyBorder="1" applyAlignment="1" applyProtection="1">
      <alignment horizontal="center" vertical="center" wrapText="1"/>
      <protection locked="0"/>
    </xf>
    <xf numFmtId="0" fontId="6" fillId="6" borderId="12" xfId="0" applyFont="1" applyFill="1" applyBorder="1" applyAlignment="1" applyProtection="1">
      <alignment horizontal="center" vertical="center"/>
    </xf>
    <xf numFmtId="0" fontId="6" fillId="6" borderId="13" xfId="0" applyFont="1" applyFill="1" applyBorder="1" applyAlignment="1" applyProtection="1">
      <alignment horizontal="center" vertical="center"/>
    </xf>
    <xf numFmtId="0" fontId="6" fillId="6" borderId="14" xfId="0" applyFont="1" applyFill="1" applyBorder="1" applyAlignment="1" applyProtection="1">
      <alignment horizontal="center" vertical="center"/>
    </xf>
    <xf numFmtId="0" fontId="6" fillId="2" borderId="33" xfId="0" applyFont="1" applyFill="1" applyBorder="1" applyAlignment="1" applyProtection="1">
      <alignment horizontal="center" vertical="center"/>
    </xf>
    <xf numFmtId="0" fontId="6" fillId="2" borderId="32" xfId="0" applyFont="1" applyFill="1" applyBorder="1" applyAlignment="1" applyProtection="1">
      <alignment horizontal="center" vertical="center"/>
    </xf>
    <xf numFmtId="0" fontId="6" fillId="2" borderId="20" xfId="0" applyFont="1" applyFill="1" applyBorder="1" applyAlignment="1" applyProtection="1">
      <alignment horizontal="center" vertical="center"/>
    </xf>
    <xf numFmtId="0" fontId="0" fillId="3" borderId="26" xfId="0" applyFont="1" applyFill="1" applyBorder="1" applyAlignment="1" applyProtection="1">
      <alignment horizontal="left" vertical="center" wrapText="1"/>
      <protection locked="0"/>
    </xf>
    <xf numFmtId="0" fontId="0" fillId="3" borderId="27" xfId="0" applyFont="1" applyFill="1" applyBorder="1" applyAlignment="1" applyProtection="1">
      <alignment horizontal="left" vertical="center" wrapText="1"/>
      <protection locked="0"/>
    </xf>
    <xf numFmtId="0" fontId="0" fillId="3" borderId="19" xfId="0" applyFont="1" applyFill="1" applyBorder="1" applyAlignment="1" applyProtection="1">
      <alignment horizontal="left" vertical="center" wrapText="1"/>
      <protection locked="0"/>
    </xf>
    <xf numFmtId="0" fontId="8" fillId="2" borderId="6" xfId="0" applyFont="1" applyFill="1" applyBorder="1" applyAlignment="1" applyProtection="1">
      <alignment horizontal="center" vertical="center" wrapText="1"/>
      <protection locked="0"/>
    </xf>
    <xf numFmtId="0" fontId="8" fillId="2" borderId="2" xfId="0" applyFont="1" applyFill="1" applyBorder="1" applyAlignment="1" applyProtection="1">
      <alignment horizontal="center" vertical="center" wrapText="1"/>
      <protection locked="0"/>
    </xf>
    <xf numFmtId="0" fontId="5" fillId="2" borderId="2" xfId="0" applyFont="1" applyFill="1" applyBorder="1" applyAlignment="1" applyProtection="1">
      <alignment horizontal="center" vertical="center" wrapText="1"/>
      <protection locked="0"/>
    </xf>
    <xf numFmtId="0" fontId="5" fillId="2" borderId="9" xfId="0" applyFont="1" applyFill="1" applyBorder="1" applyAlignment="1" applyProtection="1">
      <alignment horizontal="center" vertical="center" wrapText="1"/>
      <protection locked="0"/>
    </xf>
    <xf numFmtId="0" fontId="11" fillId="2" borderId="6" xfId="0" applyFont="1" applyFill="1" applyBorder="1" applyAlignment="1" applyProtection="1">
      <alignment horizontal="center" vertical="center"/>
    </xf>
    <xf numFmtId="0" fontId="11" fillId="2" borderId="2" xfId="0" applyFont="1" applyFill="1" applyBorder="1" applyAlignment="1" applyProtection="1">
      <alignment horizontal="center" vertical="center"/>
    </xf>
    <xf numFmtId="0" fontId="11" fillId="2" borderId="9" xfId="0" applyFont="1" applyFill="1" applyBorder="1" applyAlignment="1" applyProtection="1">
      <alignment horizontal="center" vertical="center"/>
    </xf>
    <xf numFmtId="0" fontId="0" fillId="0" borderId="2" xfId="0" applyFont="1" applyBorder="1" applyAlignment="1" applyProtection="1">
      <alignment horizontal="center" vertical="center" wrapText="1"/>
      <protection locked="0"/>
    </xf>
    <xf numFmtId="0" fontId="0" fillId="0" borderId="8" xfId="0" applyFont="1" applyBorder="1" applyAlignment="1" applyProtection="1">
      <alignment horizontal="center" vertical="center" wrapText="1"/>
      <protection locked="0"/>
    </xf>
    <xf numFmtId="49" fontId="8" fillId="2" borderId="31" xfId="0" applyNumberFormat="1" applyFont="1" applyFill="1" applyBorder="1" applyAlignment="1" applyProtection="1">
      <alignment horizontal="center" vertical="center" wrapText="1"/>
      <protection locked="0"/>
    </xf>
    <xf numFmtId="49" fontId="8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11" fillId="2" borderId="28" xfId="0" applyFont="1" applyFill="1" applyBorder="1" applyAlignment="1" applyProtection="1">
      <alignment horizontal="center" vertical="center"/>
    </xf>
    <xf numFmtId="0" fontId="11" fillId="2" borderId="29" xfId="0" applyFont="1" applyFill="1" applyBorder="1" applyAlignment="1" applyProtection="1">
      <alignment horizontal="center" vertical="center"/>
    </xf>
    <xf numFmtId="0" fontId="11" fillId="2" borderId="30" xfId="0" applyFont="1" applyFill="1" applyBorder="1" applyAlignment="1" applyProtection="1">
      <alignment horizontal="center" vertical="center"/>
    </xf>
    <xf numFmtId="0" fontId="0" fillId="0" borderId="43" xfId="0" applyFont="1" applyBorder="1" applyAlignment="1" applyProtection="1">
      <alignment horizontal="center" vertical="center" wrapText="1"/>
      <protection locked="0"/>
    </xf>
    <xf numFmtId="0" fontId="0" fillId="0" borderId="44" xfId="0" applyFont="1" applyBorder="1" applyAlignment="1" applyProtection="1">
      <alignment horizontal="center" vertical="center" wrapText="1"/>
      <protection locked="0"/>
    </xf>
    <xf numFmtId="0" fontId="0" fillId="0" borderId="45" xfId="0" applyFont="1" applyBorder="1" applyAlignment="1" applyProtection="1">
      <alignment horizontal="center" vertical="center" wrapText="1"/>
      <protection locked="0"/>
    </xf>
    <xf numFmtId="0" fontId="0" fillId="0" borderId="42" xfId="0" applyFont="1" applyBorder="1" applyAlignment="1" applyProtection="1">
      <alignment horizontal="center" vertical="center" wrapText="1"/>
      <protection locked="0"/>
    </xf>
    <xf numFmtId="0" fontId="0" fillId="0" borderId="46" xfId="0" applyFont="1" applyBorder="1" applyAlignment="1" applyProtection="1">
      <alignment horizontal="center" vertical="center" wrapText="1"/>
      <protection locked="0"/>
    </xf>
    <xf numFmtId="0" fontId="0" fillId="0" borderId="47" xfId="0" applyFont="1" applyBorder="1" applyAlignment="1" applyProtection="1">
      <alignment horizontal="center" vertical="center" wrapText="1"/>
      <protection locked="0"/>
    </xf>
    <xf numFmtId="0" fontId="0" fillId="0" borderId="9" xfId="0" applyFont="1" applyBorder="1" applyAlignment="1" applyProtection="1">
      <alignment horizontal="center" vertical="center" wrapText="1"/>
      <protection locked="0"/>
    </xf>
    <xf numFmtId="0" fontId="0" fillId="0" borderId="11" xfId="0" applyFont="1" applyBorder="1" applyAlignment="1" applyProtection="1">
      <alignment horizontal="center" vertical="center" wrapText="1"/>
      <protection locked="0"/>
    </xf>
    <xf numFmtId="0" fontId="10" fillId="2" borderId="15" xfId="0" applyFont="1" applyFill="1" applyBorder="1" applyAlignment="1" applyProtection="1">
      <alignment horizontal="center" vertical="center"/>
      <protection locked="0"/>
    </xf>
    <xf numFmtId="0" fontId="10" fillId="2" borderId="16" xfId="0" applyFont="1" applyFill="1" applyBorder="1" applyAlignment="1" applyProtection="1">
      <alignment horizontal="center" vertical="center"/>
      <protection locked="0"/>
    </xf>
    <xf numFmtId="0" fontId="10" fillId="2" borderId="17" xfId="0" applyFont="1" applyFill="1" applyBorder="1" applyAlignment="1" applyProtection="1">
      <alignment horizontal="center" vertical="center"/>
      <protection locked="0"/>
    </xf>
    <xf numFmtId="0" fontId="6" fillId="6" borderId="36" xfId="0" applyFont="1" applyFill="1" applyBorder="1" applyAlignment="1" applyProtection="1">
      <alignment horizontal="center" vertical="top" wrapText="1"/>
      <protection locked="0"/>
    </xf>
    <xf numFmtId="0" fontId="6" fillId="6" borderId="37" xfId="0" applyFont="1" applyFill="1" applyBorder="1" applyAlignment="1" applyProtection="1">
      <alignment horizontal="center" vertical="top" wrapText="1"/>
      <protection locked="0"/>
    </xf>
    <xf numFmtId="0" fontId="6" fillId="6" borderId="38" xfId="0" applyFont="1" applyFill="1" applyBorder="1" applyAlignment="1" applyProtection="1">
      <alignment horizontal="center" vertical="top" wrapText="1"/>
      <protection locked="0"/>
    </xf>
    <xf numFmtId="0" fontId="5" fillId="0" borderId="2" xfId="0" applyFont="1" applyBorder="1" applyAlignment="1" applyProtection="1">
      <alignment horizontal="center" vertical="center"/>
      <protection locked="0"/>
    </xf>
    <xf numFmtId="0" fontId="10" fillId="2" borderId="2" xfId="0" applyFont="1" applyFill="1" applyBorder="1" applyAlignment="1" applyProtection="1">
      <alignment horizontal="center" vertical="center"/>
      <protection locked="0"/>
    </xf>
    <xf numFmtId="0" fontId="3" fillId="6" borderId="5" xfId="0" applyFont="1" applyFill="1" applyBorder="1" applyAlignment="1" applyProtection="1">
      <alignment horizontal="center" vertical="center" wrapText="1"/>
      <protection locked="0"/>
    </xf>
    <xf numFmtId="0" fontId="4" fillId="6" borderId="5" xfId="0" applyFont="1" applyFill="1" applyBorder="1" applyAlignment="1" applyProtection="1">
      <alignment horizontal="center" vertical="center" wrapText="1"/>
      <protection locked="0"/>
    </xf>
    <xf numFmtId="0" fontId="0" fillId="6" borderId="6" xfId="0" applyFont="1" applyFill="1" applyBorder="1" applyAlignment="1" applyProtection="1">
      <alignment horizontal="center" vertical="center" wrapText="1"/>
      <protection locked="0"/>
    </xf>
    <xf numFmtId="0" fontId="0" fillId="6" borderId="2" xfId="0" applyFont="1" applyFill="1" applyBorder="1" applyAlignment="1" applyProtection="1">
      <alignment horizontal="center" vertical="center" wrapText="1"/>
      <protection locked="0"/>
    </xf>
    <xf numFmtId="0" fontId="0" fillId="6" borderId="9" xfId="0" applyFont="1" applyFill="1" applyBorder="1" applyAlignment="1" applyProtection="1">
      <alignment horizontal="center" vertical="center" wrapText="1"/>
      <protection locked="0"/>
    </xf>
    <xf numFmtId="0" fontId="0" fillId="6" borderId="10" xfId="0" applyFont="1" applyFill="1" applyBorder="1" applyAlignment="1" applyProtection="1">
      <alignment horizontal="center" vertical="center" wrapText="1"/>
      <protection locked="0"/>
    </xf>
    <xf numFmtId="0" fontId="0" fillId="6" borderId="8" xfId="0" applyFont="1" applyFill="1" applyBorder="1" applyAlignment="1" applyProtection="1">
      <alignment horizontal="center" vertical="center" wrapText="1"/>
      <protection locked="0"/>
    </xf>
    <xf numFmtId="0" fontId="0" fillId="6" borderId="11" xfId="0" applyFont="1" applyFill="1" applyBorder="1" applyAlignment="1" applyProtection="1">
      <alignment horizontal="center" vertical="center" wrapText="1"/>
      <protection locked="0"/>
    </xf>
    <xf numFmtId="0" fontId="6" fillId="2" borderId="28" xfId="0" applyFont="1" applyFill="1" applyBorder="1" applyAlignment="1" applyProtection="1">
      <alignment horizontal="center"/>
      <protection locked="0"/>
    </xf>
    <xf numFmtId="0" fontId="6" fillId="2" borderId="29" xfId="0" applyFont="1" applyFill="1" applyBorder="1" applyAlignment="1" applyProtection="1">
      <alignment horizontal="center"/>
      <protection locked="0"/>
    </xf>
    <xf numFmtId="0" fontId="6" fillId="2" borderId="30" xfId="0" applyFont="1" applyFill="1" applyBorder="1" applyAlignment="1" applyProtection="1">
      <alignment horizontal="center"/>
      <protection locked="0"/>
    </xf>
    <xf numFmtId="0" fontId="5" fillId="6" borderId="21" xfId="0" applyFont="1" applyFill="1" applyBorder="1" applyAlignment="1" applyProtection="1">
      <alignment horizontal="center" vertical="center" wrapText="1"/>
      <protection locked="0"/>
    </xf>
    <xf numFmtId="0" fontId="5" fillId="6" borderId="32" xfId="0" applyFont="1" applyFill="1" applyBorder="1" applyAlignment="1" applyProtection="1">
      <alignment horizontal="center" vertical="center" wrapText="1"/>
      <protection locked="0"/>
    </xf>
    <xf numFmtId="0" fontId="5" fillId="6" borderId="20" xfId="0" applyFont="1" applyFill="1" applyBorder="1" applyAlignment="1" applyProtection="1">
      <alignment horizontal="center" vertical="center" wrapText="1"/>
      <protection locked="0"/>
    </xf>
    <xf numFmtId="0" fontId="20" fillId="8" borderId="48" xfId="0" applyFont="1" applyFill="1" applyBorder="1" applyAlignment="1">
      <alignment horizontal="center" vertical="center" wrapText="1"/>
    </xf>
    <xf numFmtId="0" fontId="20" fillId="8" borderId="0" xfId="0" applyFont="1" applyFill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12700</xdr:colOff>
          <xdr:row>27</xdr:row>
          <xdr:rowOff>0</xdr:rowOff>
        </xdr:from>
        <xdr:to>
          <xdr:col>19</xdr:col>
          <xdr:colOff>0</xdr:colOff>
          <xdr:row>27</xdr:row>
          <xdr:rowOff>203200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FF0000"/>
                  </a:solidFill>
                  <a:latin typeface="Calibri" pitchFamily="2" charset="0"/>
                  <a:cs typeface="Calibri" pitchFamily="2" charset="0"/>
                </a:rPr>
                <a:t>Click to Cancel!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synbiohub.org/user/chenmzh/JHT6demochenmzh/pBW586/1" TargetMode="External"/><Relationship Id="rId3" Type="http://schemas.openxmlformats.org/officeDocument/2006/relationships/hyperlink" Target="https://synbiohub.org/user/chenmzh/JHT6demochenmzh/pBW363/1" TargetMode="External"/><Relationship Id="rId7" Type="http://schemas.openxmlformats.org/officeDocument/2006/relationships/hyperlink" Target="https://synbiohub.org/user/chenmzh/JHT6demochenmzh/pLC41/1" TargetMode="External"/><Relationship Id="rId2" Type="http://schemas.openxmlformats.org/officeDocument/2006/relationships/hyperlink" Target="https://synbiohub.org/user/chenmzh/JHT6demochenmzh/pBW363/1" TargetMode="External"/><Relationship Id="rId1" Type="http://schemas.openxmlformats.org/officeDocument/2006/relationships/hyperlink" Target="https://synbiohub.org/user/chenmzh/JHT6demochenmzh/pBW363/1" TargetMode="External"/><Relationship Id="rId6" Type="http://schemas.openxmlformats.org/officeDocument/2006/relationships/hyperlink" Target="https://synbiohub.org/user/chenmzh/JHT6demochenmzh/pBW2139/1" TargetMode="External"/><Relationship Id="rId5" Type="http://schemas.openxmlformats.org/officeDocument/2006/relationships/hyperlink" Target="https://synbiohub.org/user/chenmzh/JHT6demochenmzh/pBW465/1" TargetMode="External"/><Relationship Id="rId4" Type="http://schemas.openxmlformats.org/officeDocument/2006/relationships/hyperlink" Target="https://synbiohub.org/user/chenmzh/JHT6demochenmzh/pBW339/1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autoPageBreaks="0"/>
  </sheetPr>
  <dimension ref="A1:K48"/>
  <sheetViews>
    <sheetView tabSelected="1" topLeftCell="A25" zoomScaleNormal="100" workbookViewId="0">
      <selection activeCell="A40" sqref="A40"/>
    </sheetView>
  </sheetViews>
  <sheetFormatPr baseColWidth="10" defaultColWidth="10.83203125" defaultRowHeight="16"/>
  <cols>
    <col min="1" max="1" width="20.83203125" style="19" customWidth="1"/>
    <col min="2" max="2" width="14.1640625" style="18" bestFit="1" customWidth="1"/>
    <col min="3" max="3" width="6.1640625" style="18" bestFit="1" customWidth="1"/>
    <col min="4" max="4" width="12.1640625" style="18" customWidth="1"/>
    <col min="5" max="5" width="11.83203125" style="18" bestFit="1" customWidth="1"/>
    <col min="6" max="6" width="19.33203125" style="21" customWidth="1"/>
    <col min="7" max="7" width="10.5" style="18" customWidth="1"/>
    <col min="8" max="8" width="12.1640625" style="18" customWidth="1"/>
    <col min="9" max="9" width="20" style="18" customWidth="1"/>
    <col min="10" max="10" width="16.1640625" style="18" customWidth="1"/>
    <col min="11" max="11" width="10.1640625" style="18" customWidth="1"/>
    <col min="12" max="12" width="21.1640625" style="18" customWidth="1"/>
    <col min="13" max="16384" width="10.83203125" style="18"/>
  </cols>
  <sheetData>
    <row r="1" spans="1:11" ht="20" thickBot="1">
      <c r="A1" s="121" t="s">
        <v>42</v>
      </c>
      <c r="B1" s="122"/>
      <c r="C1" s="122"/>
      <c r="D1" s="122"/>
      <c r="E1" s="122"/>
      <c r="F1" s="122"/>
      <c r="G1" s="122"/>
      <c r="H1" s="122"/>
      <c r="I1" s="122"/>
      <c r="J1" s="122"/>
      <c r="K1" s="123"/>
    </row>
    <row r="2" spans="1:11" ht="17" thickBot="1">
      <c r="B2" s="20"/>
    </row>
    <row r="3" spans="1:11">
      <c r="A3" s="100" t="s">
        <v>36</v>
      </c>
      <c r="B3" s="101"/>
    </row>
    <row r="4" spans="1:11" ht="19">
      <c r="A4" s="114" t="s">
        <v>3</v>
      </c>
      <c r="B4" s="115"/>
    </row>
    <row r="5" spans="1:11" ht="17" thickBot="1">
      <c r="A5" s="116" t="s">
        <v>99</v>
      </c>
      <c r="B5" s="117"/>
    </row>
    <row r="6" spans="1:11" ht="17" thickBot="1">
      <c r="B6" s="20"/>
    </row>
    <row r="7" spans="1:11">
      <c r="A7" s="100" t="s">
        <v>23</v>
      </c>
      <c r="B7" s="102"/>
      <c r="C7" s="102"/>
      <c r="D7" s="102"/>
      <c r="E7" s="102"/>
      <c r="F7" s="102"/>
      <c r="G7" s="102"/>
      <c r="H7" s="102"/>
      <c r="I7" s="102"/>
      <c r="J7" s="102"/>
      <c r="K7" s="101"/>
    </row>
    <row r="8" spans="1:11" ht="19">
      <c r="A8" s="124" t="s">
        <v>4</v>
      </c>
      <c r="B8" s="125"/>
      <c r="C8" s="125"/>
      <c r="D8" s="125"/>
      <c r="E8" s="125"/>
      <c r="F8" s="125"/>
      <c r="G8" s="125"/>
      <c r="H8" s="125"/>
      <c r="I8" s="125"/>
      <c r="J8" s="125"/>
      <c r="K8" s="126"/>
    </row>
    <row r="9" spans="1:11" ht="30.75" customHeight="1" thickBot="1">
      <c r="A9" s="127"/>
      <c r="B9" s="128"/>
      <c r="C9" s="128"/>
      <c r="D9" s="128"/>
      <c r="E9" s="128"/>
      <c r="F9" s="128"/>
      <c r="G9" s="128"/>
      <c r="H9" s="128"/>
      <c r="I9" s="128"/>
      <c r="J9" s="128"/>
      <c r="K9" s="129"/>
    </row>
    <row r="10" spans="1:11" ht="17" thickBot="1">
      <c r="A10" s="22"/>
      <c r="B10" s="23"/>
      <c r="C10" s="23"/>
      <c r="D10" s="23"/>
      <c r="E10" s="23"/>
      <c r="F10" s="24"/>
    </row>
    <row r="11" spans="1:11" ht="18" customHeight="1">
      <c r="A11" s="103" t="s">
        <v>24</v>
      </c>
      <c r="B11" s="104"/>
      <c r="C11" s="104"/>
      <c r="D11" s="105"/>
      <c r="E11" s="23"/>
      <c r="F11" s="24"/>
    </row>
    <row r="12" spans="1:11" ht="19">
      <c r="A12" s="106" t="s">
        <v>5</v>
      </c>
      <c r="B12" s="107"/>
      <c r="C12" s="108" t="s">
        <v>6</v>
      </c>
      <c r="D12" s="109"/>
      <c r="E12" s="23"/>
      <c r="F12" s="24"/>
    </row>
    <row r="13" spans="1:11" ht="17" thickBot="1">
      <c r="A13" s="110" t="s">
        <v>98</v>
      </c>
      <c r="B13" s="111"/>
      <c r="C13" s="112"/>
      <c r="D13" s="113"/>
      <c r="E13" s="23"/>
      <c r="F13" s="24"/>
    </row>
    <row r="14" spans="1:11" ht="17" thickBot="1"/>
    <row r="15" spans="1:11" ht="48.75" customHeight="1">
      <c r="A15" s="103" t="s">
        <v>25</v>
      </c>
      <c r="B15" s="105"/>
      <c r="E15" s="103"/>
      <c r="F15" s="104"/>
      <c r="G15" s="104"/>
      <c r="H15" s="104"/>
      <c r="I15" s="104"/>
      <c r="J15" s="104"/>
      <c r="K15" s="105"/>
    </row>
    <row r="16" spans="1:11" ht="15.75" customHeight="1">
      <c r="A16" s="114" t="s">
        <v>14</v>
      </c>
      <c r="B16" s="115"/>
      <c r="D16" s="9"/>
      <c r="E16" s="134"/>
      <c r="F16" s="135"/>
      <c r="G16" s="135"/>
      <c r="H16" s="135"/>
      <c r="I16" s="135"/>
      <c r="J16" s="135"/>
      <c r="K16" s="136"/>
    </row>
    <row r="17" spans="1:11" ht="33" customHeight="1">
      <c r="A17" s="48" t="s">
        <v>15</v>
      </c>
      <c r="B17" s="26" t="s">
        <v>26</v>
      </c>
      <c r="C17" s="27"/>
      <c r="E17" s="130"/>
      <c r="F17" s="131"/>
      <c r="G17" s="51"/>
      <c r="H17" s="51"/>
      <c r="I17" s="77"/>
      <c r="J17" s="132"/>
      <c r="K17" s="133"/>
    </row>
    <row r="18" spans="1:11" ht="15.75" customHeight="1">
      <c r="A18" s="49" t="s">
        <v>22</v>
      </c>
      <c r="B18" s="50" t="s">
        <v>16</v>
      </c>
      <c r="C18" s="27"/>
      <c r="E18" s="31"/>
      <c r="F18" s="32"/>
      <c r="G18" s="33"/>
      <c r="H18" s="33"/>
      <c r="I18" s="137"/>
      <c r="J18" s="137"/>
      <c r="K18" s="150"/>
    </row>
    <row r="19" spans="1:11">
      <c r="A19" s="34" t="s">
        <v>30</v>
      </c>
      <c r="B19" s="35"/>
      <c r="C19" s="27"/>
      <c r="E19" s="31"/>
      <c r="F19" s="32"/>
      <c r="G19" s="33"/>
      <c r="H19" s="36"/>
      <c r="I19" s="137"/>
      <c r="J19" s="137"/>
      <c r="K19" s="150"/>
    </row>
    <row r="20" spans="1:11" ht="17" thickBot="1">
      <c r="A20" s="34" t="s">
        <v>31</v>
      </c>
      <c r="B20" s="35"/>
      <c r="C20" s="37"/>
      <c r="E20" s="38"/>
      <c r="F20" s="39"/>
      <c r="G20" s="40"/>
      <c r="H20" s="40"/>
      <c r="I20" s="138"/>
      <c r="J20" s="138"/>
      <c r="K20" s="151"/>
    </row>
    <row r="21" spans="1:11">
      <c r="A21" s="34" t="s">
        <v>34</v>
      </c>
      <c r="B21" s="35"/>
      <c r="C21" s="41"/>
      <c r="I21" s="28"/>
      <c r="J21" s="28"/>
    </row>
    <row r="22" spans="1:11" ht="17" thickBot="1">
      <c r="A22" s="42"/>
      <c r="B22" s="43"/>
      <c r="C22" s="27"/>
      <c r="J22" s="28"/>
    </row>
    <row r="23" spans="1:11" ht="20" thickBot="1">
      <c r="A23" s="44"/>
      <c r="B23" s="45"/>
      <c r="C23" s="37"/>
      <c r="E23" s="141"/>
      <c r="F23" s="142"/>
      <c r="G23" s="142"/>
      <c r="H23" s="142"/>
      <c r="I23" s="142"/>
      <c r="J23" s="142"/>
      <c r="K23" s="143"/>
    </row>
    <row r="24" spans="1:11" ht="33" customHeight="1">
      <c r="A24" s="98" t="s">
        <v>18</v>
      </c>
      <c r="B24" s="99"/>
      <c r="C24" s="41"/>
      <c r="E24" s="130"/>
      <c r="F24" s="131"/>
      <c r="G24" s="51"/>
      <c r="H24" s="51"/>
      <c r="I24" s="77"/>
      <c r="J24" s="132"/>
      <c r="K24" s="133"/>
    </row>
    <row r="25" spans="1:11" ht="21.75" customHeight="1">
      <c r="A25" s="25" t="s">
        <v>15</v>
      </c>
      <c r="B25" s="26" t="s">
        <v>27</v>
      </c>
      <c r="C25" s="41"/>
      <c r="E25" s="31"/>
      <c r="F25" s="32"/>
      <c r="G25" s="33"/>
      <c r="H25" s="33"/>
      <c r="I25" s="137"/>
      <c r="J25" s="137"/>
      <c r="K25" s="150"/>
    </row>
    <row r="26" spans="1:11" ht="31.5" customHeight="1">
      <c r="A26" s="29" t="s">
        <v>22</v>
      </c>
      <c r="B26" s="30" t="s">
        <v>16</v>
      </c>
      <c r="C26" s="27"/>
      <c r="E26" s="31"/>
      <c r="F26" s="32"/>
      <c r="G26" s="33"/>
      <c r="H26" s="36"/>
      <c r="I26" s="137"/>
      <c r="J26" s="137"/>
      <c r="K26" s="150"/>
    </row>
    <row r="27" spans="1:11" ht="34.5" customHeight="1" thickBot="1">
      <c r="A27" s="34" t="s">
        <v>28</v>
      </c>
      <c r="B27" s="35"/>
      <c r="C27" s="37"/>
      <c r="E27" s="38"/>
      <c r="F27" s="39"/>
      <c r="G27" s="40"/>
      <c r="H27" s="40"/>
      <c r="I27" s="138"/>
      <c r="J27" s="138"/>
      <c r="K27" s="151"/>
    </row>
    <row r="28" spans="1:11">
      <c r="A28" s="34" t="s">
        <v>29</v>
      </c>
      <c r="B28" s="35"/>
      <c r="C28" s="41"/>
      <c r="E28" s="46"/>
      <c r="F28" s="47"/>
      <c r="G28" s="46"/>
      <c r="H28" s="46"/>
      <c r="I28" s="28"/>
    </row>
    <row r="29" spans="1:11" ht="17" thickBot="1">
      <c r="A29" s="34"/>
      <c r="B29" s="35"/>
      <c r="C29" s="41"/>
      <c r="I29" s="28"/>
    </row>
    <row r="30" spans="1:11" ht="20" thickBot="1">
      <c r="A30" s="42"/>
      <c r="B30" s="43"/>
      <c r="C30" s="27"/>
      <c r="E30" s="141"/>
      <c r="F30" s="142"/>
      <c r="G30" s="142"/>
      <c r="H30" s="142"/>
      <c r="I30" s="142"/>
      <c r="J30" s="142"/>
      <c r="K30" s="143"/>
    </row>
    <row r="31" spans="1:11" ht="63.75" customHeight="1" thickBot="1">
      <c r="A31" s="44"/>
      <c r="B31" s="37"/>
      <c r="C31" s="37"/>
      <c r="E31" s="139"/>
      <c r="F31" s="140"/>
      <c r="G31" s="51"/>
      <c r="H31" s="51"/>
      <c r="I31" s="77"/>
      <c r="J31" s="132"/>
      <c r="K31" s="133"/>
    </row>
    <row r="32" spans="1:11" ht="18.75" customHeight="1">
      <c r="A32" s="98" t="s">
        <v>19</v>
      </c>
      <c r="B32" s="99"/>
      <c r="C32" s="41"/>
      <c r="E32" s="31"/>
      <c r="F32" s="32"/>
      <c r="G32" s="33"/>
      <c r="H32" s="33"/>
      <c r="I32" s="118"/>
      <c r="J32" s="144"/>
      <c r="K32" s="145"/>
    </row>
    <row r="33" spans="1:11">
      <c r="A33" s="25" t="s">
        <v>15</v>
      </c>
      <c r="B33" s="26" t="s">
        <v>33</v>
      </c>
      <c r="C33" s="27"/>
      <c r="E33" s="31"/>
      <c r="F33" s="32"/>
      <c r="G33" s="33"/>
      <c r="H33" s="36"/>
      <c r="I33" s="119"/>
      <c r="J33" s="146"/>
      <c r="K33" s="147"/>
    </row>
    <row r="34" spans="1:11">
      <c r="A34" s="29" t="s">
        <v>17</v>
      </c>
      <c r="B34" s="30" t="s">
        <v>16</v>
      </c>
      <c r="E34" s="78"/>
      <c r="F34" s="79"/>
      <c r="G34" s="80"/>
      <c r="H34" s="81"/>
      <c r="I34" s="119"/>
      <c r="J34" s="146"/>
      <c r="K34" s="147"/>
    </row>
    <row r="35" spans="1:11">
      <c r="A35" s="34" t="s">
        <v>8</v>
      </c>
      <c r="B35" s="35"/>
      <c r="E35" s="78"/>
      <c r="F35" s="79"/>
      <c r="G35" s="80"/>
      <c r="H35" s="81"/>
      <c r="I35" s="119"/>
      <c r="J35" s="146"/>
      <c r="K35" s="147"/>
    </row>
    <row r="36" spans="1:11">
      <c r="A36" s="34" t="s">
        <v>9</v>
      </c>
      <c r="B36" s="35"/>
      <c r="E36" s="78"/>
      <c r="F36" s="79"/>
      <c r="G36" s="80"/>
      <c r="H36" s="81"/>
      <c r="I36" s="119"/>
      <c r="J36" s="146"/>
      <c r="K36" s="147"/>
    </row>
    <row r="37" spans="1:11" ht="17" thickBot="1">
      <c r="A37" s="34" t="s">
        <v>10</v>
      </c>
      <c r="B37" s="35"/>
      <c r="E37" s="38"/>
      <c r="F37" s="39"/>
      <c r="G37" s="40"/>
      <c r="H37" s="40"/>
      <c r="I37" s="120"/>
      <c r="J37" s="148"/>
      <c r="K37" s="149"/>
    </row>
    <row r="38" spans="1:11" ht="17" thickBot="1">
      <c r="A38" s="42" t="s">
        <v>11</v>
      </c>
      <c r="B38" s="43"/>
    </row>
    <row r="39" spans="1:11" ht="17" thickBot="1">
      <c r="A39" s="42" t="s">
        <v>12</v>
      </c>
      <c r="B39" s="43"/>
    </row>
    <row r="40" spans="1:11" ht="20" thickBot="1">
      <c r="A40" s="42" t="s">
        <v>13</v>
      </c>
      <c r="B40" s="43"/>
      <c r="E40" s="141"/>
      <c r="F40" s="142"/>
      <c r="G40" s="142"/>
      <c r="H40" s="142"/>
      <c r="I40" s="142"/>
      <c r="J40" s="142"/>
      <c r="K40" s="143"/>
    </row>
    <row r="41" spans="1:11">
      <c r="E41" s="139"/>
      <c r="F41" s="140"/>
      <c r="G41" s="51"/>
      <c r="H41" s="51"/>
      <c r="I41" s="77"/>
      <c r="J41" s="132"/>
      <c r="K41" s="133"/>
    </row>
    <row r="42" spans="1:11">
      <c r="E42" s="31"/>
      <c r="F42" s="76"/>
      <c r="G42" s="33"/>
      <c r="H42" s="33"/>
      <c r="I42" s="118"/>
      <c r="J42" s="144"/>
      <c r="K42" s="145"/>
    </row>
    <row r="43" spans="1:11">
      <c r="E43" s="31"/>
      <c r="F43" s="32"/>
      <c r="G43" s="33"/>
      <c r="H43" s="36"/>
      <c r="I43" s="119"/>
      <c r="J43" s="146"/>
      <c r="K43" s="147"/>
    </row>
    <row r="44" spans="1:11">
      <c r="E44" s="78"/>
      <c r="F44" s="79"/>
      <c r="G44" s="80"/>
      <c r="H44" s="81"/>
      <c r="I44" s="119"/>
      <c r="J44" s="146"/>
      <c r="K44" s="147"/>
    </row>
    <row r="45" spans="1:11">
      <c r="E45" s="78"/>
      <c r="F45" s="79"/>
      <c r="G45" s="80"/>
      <c r="H45" s="81"/>
      <c r="I45" s="119"/>
      <c r="J45" s="146"/>
      <c r="K45" s="147"/>
    </row>
    <row r="46" spans="1:11">
      <c r="E46" s="78"/>
      <c r="F46" s="79"/>
      <c r="G46" s="80"/>
      <c r="H46" s="81"/>
      <c r="I46" s="119"/>
      <c r="J46" s="146"/>
      <c r="K46" s="147"/>
    </row>
    <row r="47" spans="1:11" ht="17" thickBot="1">
      <c r="E47" s="38"/>
      <c r="F47" s="39"/>
      <c r="G47" s="40"/>
      <c r="H47" s="40"/>
      <c r="I47" s="120"/>
      <c r="J47" s="148"/>
      <c r="K47" s="149"/>
    </row>
    <row r="48" spans="1:11" ht="16" customHeight="1"/>
  </sheetData>
  <sheetProtection insertColumns="0" insertRows="0" deleteColumns="0" deleteRows="0"/>
  <mergeCells count="37">
    <mergeCell ref="I42:I47"/>
    <mergeCell ref="I18:I20"/>
    <mergeCell ref="E41:F41"/>
    <mergeCell ref="E31:F31"/>
    <mergeCell ref="E40:K40"/>
    <mergeCell ref="J41:K41"/>
    <mergeCell ref="J42:K47"/>
    <mergeCell ref="J18:K20"/>
    <mergeCell ref="E30:K30"/>
    <mergeCell ref="J31:K31"/>
    <mergeCell ref="J32:K37"/>
    <mergeCell ref="E23:K23"/>
    <mergeCell ref="E24:F24"/>
    <mergeCell ref="J24:K24"/>
    <mergeCell ref="I25:I27"/>
    <mergeCell ref="J25:K27"/>
    <mergeCell ref="A1:K1"/>
    <mergeCell ref="A8:K8"/>
    <mergeCell ref="A9:K9"/>
    <mergeCell ref="E17:F17"/>
    <mergeCell ref="A16:B16"/>
    <mergeCell ref="J17:K17"/>
    <mergeCell ref="E16:K16"/>
    <mergeCell ref="E15:K15"/>
    <mergeCell ref="A24:B24"/>
    <mergeCell ref="A32:B32"/>
    <mergeCell ref="A3:B3"/>
    <mergeCell ref="A7:K7"/>
    <mergeCell ref="A11:D11"/>
    <mergeCell ref="A15:B15"/>
    <mergeCell ref="A12:B12"/>
    <mergeCell ref="C12:D12"/>
    <mergeCell ref="A13:B13"/>
    <mergeCell ref="C13:D13"/>
    <mergeCell ref="A4:B4"/>
    <mergeCell ref="A5:B5"/>
    <mergeCell ref="I32:I37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autoPageBreaks="0"/>
  </sheetPr>
  <dimension ref="A1:Q193"/>
  <sheetViews>
    <sheetView zoomScale="89" zoomScaleNormal="89" workbookViewId="0">
      <selection activeCell="L11" sqref="L11"/>
    </sheetView>
  </sheetViews>
  <sheetFormatPr baseColWidth="10" defaultColWidth="11" defaultRowHeight="16"/>
  <cols>
    <col min="1" max="1" width="20" customWidth="1"/>
    <col min="2" max="2" width="23.33203125" customWidth="1"/>
    <col min="3" max="3" width="18.1640625" customWidth="1"/>
    <col min="4" max="4" width="16" customWidth="1"/>
    <col min="5" max="5" width="15.1640625" customWidth="1"/>
    <col min="6" max="6" width="15" customWidth="1"/>
    <col min="7" max="7" width="14.1640625" customWidth="1"/>
    <col min="8" max="8" width="17.33203125" customWidth="1"/>
    <col min="9" max="9" width="24.1640625" customWidth="1"/>
    <col min="10" max="10" width="16.33203125" customWidth="1"/>
    <col min="11" max="11" width="18.6640625" customWidth="1"/>
    <col min="12" max="12" width="33.33203125" customWidth="1"/>
    <col min="13" max="13" width="31.6640625" customWidth="1"/>
    <col min="14" max="14" width="30" customWidth="1"/>
    <col min="15" max="15" width="17.5" customWidth="1"/>
    <col min="16" max="16" width="14.1640625" customWidth="1"/>
    <col min="17" max="17" width="14.5" customWidth="1"/>
    <col min="18" max="18" width="17.83203125" customWidth="1"/>
    <col min="19" max="19" width="20.33203125" customWidth="1"/>
  </cols>
  <sheetData>
    <row r="1" spans="1:17" s="1" customFormat="1" ht="25.5" customHeight="1" thickBot="1">
      <c r="A1" s="155" t="s">
        <v>44</v>
      </c>
      <c r="B1" s="156"/>
      <c r="C1" s="156"/>
      <c r="D1" s="156"/>
      <c r="E1" s="156"/>
      <c r="F1" s="156"/>
      <c r="G1" s="156"/>
      <c r="H1" s="156"/>
      <c r="I1" s="156"/>
      <c r="J1" s="156"/>
      <c r="K1" s="156"/>
      <c r="L1" s="156"/>
      <c r="M1" s="156"/>
      <c r="N1" s="157"/>
    </row>
    <row r="2" spans="1:17" s="1" customFormat="1" ht="16.5" customHeight="1" thickBot="1">
      <c r="A2" s="152" t="s">
        <v>20</v>
      </c>
      <c r="B2" s="153"/>
      <c r="C2" s="153"/>
      <c r="D2" s="153"/>
      <c r="E2" s="153"/>
      <c r="F2" s="153"/>
      <c r="G2" s="153"/>
      <c r="H2" s="153"/>
      <c r="I2" s="153"/>
      <c r="J2" s="153"/>
      <c r="K2" s="153"/>
      <c r="L2" s="153"/>
      <c r="M2" s="153"/>
      <c r="N2" s="154"/>
      <c r="O2" s="2"/>
    </row>
    <row r="3" spans="1:17" s="1" customFormat="1" ht="72.75" customHeight="1">
      <c r="A3" s="52" t="s">
        <v>21</v>
      </c>
      <c r="B3" s="86" t="s">
        <v>37</v>
      </c>
      <c r="C3" s="160" t="s">
        <v>32</v>
      </c>
      <c r="D3" s="161"/>
      <c r="E3" s="161"/>
      <c r="F3" s="161"/>
      <c r="G3" s="161"/>
      <c r="H3" s="86" t="s">
        <v>38</v>
      </c>
      <c r="I3" s="54" t="s">
        <v>43</v>
      </c>
      <c r="J3" s="86" t="s">
        <v>39</v>
      </c>
      <c r="K3" s="86" t="s">
        <v>40</v>
      </c>
      <c r="L3" s="171" t="s">
        <v>41</v>
      </c>
      <c r="M3" s="172"/>
      <c r="N3" s="173"/>
      <c r="O3" s="2"/>
    </row>
    <row r="4" spans="1:17" s="1" customFormat="1" ht="37.5" customHeight="1" thickBot="1">
      <c r="A4" s="53" t="s">
        <v>0</v>
      </c>
      <c r="B4" s="10" t="s">
        <v>2</v>
      </c>
      <c r="C4" s="10" t="s">
        <v>1</v>
      </c>
      <c r="D4" s="10" t="s">
        <v>26</v>
      </c>
      <c r="E4" s="10" t="s">
        <v>97</v>
      </c>
      <c r="F4" s="10" t="s">
        <v>27</v>
      </c>
      <c r="G4" s="10" t="s">
        <v>35</v>
      </c>
      <c r="H4" s="10"/>
      <c r="I4" s="10"/>
      <c r="J4" s="10"/>
      <c r="K4" s="10"/>
      <c r="L4" s="55"/>
      <c r="M4" s="55"/>
      <c r="N4" s="56"/>
    </row>
    <row r="5" spans="1:17" s="1" customFormat="1">
      <c r="A5" s="3">
        <v>1</v>
      </c>
      <c r="B5" s="85" t="s">
        <v>45</v>
      </c>
      <c r="C5" s="4">
        <v>0.01</v>
      </c>
      <c r="D5" s="4" t="s">
        <v>30</v>
      </c>
      <c r="E5" s="4" t="s">
        <v>8</v>
      </c>
      <c r="F5" s="4" t="s">
        <v>29</v>
      </c>
      <c r="G5" s="4">
        <v>0.1</v>
      </c>
      <c r="H5" s="5"/>
      <c r="I5" s="5"/>
      <c r="J5" s="6"/>
      <c r="K5" s="11"/>
      <c r="L5" s="57"/>
      <c r="M5" s="59"/>
      <c r="N5" s="60"/>
      <c r="O5" s="8"/>
      <c r="P5" s="8"/>
      <c r="Q5" s="8"/>
    </row>
    <row r="6" spans="1:17" s="1" customFormat="1">
      <c r="A6" s="3">
        <f>A5+1</f>
        <v>2</v>
      </c>
      <c r="B6" s="85" t="s">
        <v>46</v>
      </c>
      <c r="C6" s="4">
        <v>0.02</v>
      </c>
      <c r="D6" s="4" t="s">
        <v>30</v>
      </c>
      <c r="E6" s="4" t="s">
        <v>9</v>
      </c>
      <c r="F6" s="4" t="s">
        <v>29</v>
      </c>
      <c r="G6" s="4">
        <v>0.2</v>
      </c>
      <c r="H6" s="5"/>
      <c r="I6" s="5"/>
      <c r="J6" s="6"/>
      <c r="K6" s="11"/>
      <c r="L6" s="58"/>
      <c r="M6" s="61"/>
      <c r="N6" s="62"/>
      <c r="O6" s="8"/>
      <c r="P6" s="8"/>
      <c r="Q6" s="8"/>
    </row>
    <row r="7" spans="1:17" s="1" customFormat="1">
      <c r="A7" s="3">
        <f t="shared" ref="A7:A13" si="0">A6+1</f>
        <v>3</v>
      </c>
      <c r="B7" s="85" t="s">
        <v>47</v>
      </c>
      <c r="C7" s="4">
        <v>0.05</v>
      </c>
      <c r="D7" s="4" t="s">
        <v>30</v>
      </c>
      <c r="E7" s="4" t="s">
        <v>10</v>
      </c>
      <c r="F7" s="4"/>
      <c r="G7" s="4"/>
      <c r="H7" s="5"/>
      <c r="I7" s="5"/>
      <c r="J7" s="6"/>
      <c r="K7" s="11"/>
      <c r="L7" s="58"/>
      <c r="M7" s="61"/>
      <c r="N7" s="62"/>
      <c r="O7" s="8"/>
      <c r="P7" s="8"/>
      <c r="Q7" s="8"/>
    </row>
    <row r="8" spans="1:17" s="1" customFormat="1">
      <c r="A8" s="3">
        <f t="shared" si="0"/>
        <v>4</v>
      </c>
      <c r="B8" s="85" t="s">
        <v>48</v>
      </c>
      <c r="C8" s="4">
        <v>0.1</v>
      </c>
      <c r="D8" s="4" t="s">
        <v>30</v>
      </c>
      <c r="E8" s="4" t="s">
        <v>11</v>
      </c>
      <c r="F8" s="4" t="s">
        <v>28</v>
      </c>
      <c r="G8" s="4">
        <v>0.1</v>
      </c>
      <c r="H8" s="5"/>
      <c r="I8" s="5"/>
      <c r="J8" s="6"/>
      <c r="K8" s="11"/>
      <c r="L8" s="58"/>
      <c r="M8" s="61"/>
      <c r="N8" s="62"/>
      <c r="O8" s="8"/>
      <c r="P8" s="8"/>
      <c r="Q8" s="8"/>
    </row>
    <row r="9" spans="1:17" s="1" customFormat="1">
      <c r="A9" s="3">
        <f t="shared" si="0"/>
        <v>5</v>
      </c>
      <c r="B9" s="85" t="s">
        <v>49</v>
      </c>
      <c r="C9" s="4">
        <v>0.2</v>
      </c>
      <c r="D9" s="4" t="s">
        <v>30</v>
      </c>
      <c r="E9" s="4" t="s">
        <v>12</v>
      </c>
      <c r="F9" s="4" t="s">
        <v>28</v>
      </c>
      <c r="G9" s="4">
        <v>0.2</v>
      </c>
      <c r="H9" s="5"/>
      <c r="I9" s="5"/>
      <c r="J9" s="6"/>
      <c r="K9" s="11"/>
      <c r="L9" s="58"/>
      <c r="M9" s="61"/>
      <c r="N9" s="62"/>
      <c r="O9" s="8"/>
      <c r="P9" s="8"/>
      <c r="Q9" s="8"/>
    </row>
    <row r="10" spans="1:17" s="1" customFormat="1">
      <c r="A10" s="3">
        <f t="shared" si="0"/>
        <v>6</v>
      </c>
      <c r="B10" s="85" t="s">
        <v>50</v>
      </c>
      <c r="C10" s="4">
        <v>0.5</v>
      </c>
      <c r="D10" s="4" t="s">
        <v>30</v>
      </c>
      <c r="E10" s="4" t="s">
        <v>13</v>
      </c>
      <c r="F10" s="4"/>
      <c r="G10" s="4"/>
      <c r="H10" s="5"/>
      <c r="I10" s="5"/>
      <c r="J10" s="6"/>
      <c r="K10" s="11"/>
      <c r="L10" s="58"/>
      <c r="M10" s="61"/>
      <c r="N10" s="62"/>
      <c r="O10" s="8"/>
      <c r="P10" s="8"/>
      <c r="Q10" s="8"/>
    </row>
    <row r="11" spans="1:17" s="1" customFormat="1">
      <c r="A11" s="3">
        <f t="shared" si="0"/>
        <v>7</v>
      </c>
      <c r="B11" s="85" t="s">
        <v>51</v>
      </c>
      <c r="C11" s="4">
        <v>1</v>
      </c>
      <c r="D11" s="4" t="s">
        <v>34</v>
      </c>
      <c r="E11" s="4" t="s">
        <v>8</v>
      </c>
      <c r="F11" s="4"/>
      <c r="G11" s="4">
        <v>0.1</v>
      </c>
      <c r="H11" s="5"/>
      <c r="I11" s="5"/>
      <c r="J11" s="6"/>
      <c r="K11" s="11"/>
      <c r="L11" s="58"/>
      <c r="M11" s="61"/>
      <c r="N11" s="62"/>
      <c r="O11" s="8"/>
      <c r="P11" s="8"/>
      <c r="Q11" s="8"/>
    </row>
    <row r="12" spans="1:17" s="1" customFormat="1">
      <c r="A12" s="3">
        <f t="shared" si="0"/>
        <v>8</v>
      </c>
      <c r="B12" s="85" t="s">
        <v>52</v>
      </c>
      <c r="C12" s="4">
        <v>2</v>
      </c>
      <c r="D12" s="4" t="s">
        <v>34</v>
      </c>
      <c r="E12" s="4" t="s">
        <v>9</v>
      </c>
      <c r="F12" s="4"/>
      <c r="G12" s="4">
        <v>0.2</v>
      </c>
      <c r="H12" s="5"/>
      <c r="I12" s="5"/>
      <c r="J12" s="6"/>
      <c r="K12" s="11"/>
      <c r="L12" s="58"/>
      <c r="M12" s="61"/>
      <c r="N12" s="62"/>
      <c r="O12" s="8"/>
      <c r="P12" s="8"/>
      <c r="Q12" s="8"/>
    </row>
    <row r="13" spans="1:17" s="1" customFormat="1">
      <c r="A13" s="3">
        <f t="shared" si="0"/>
        <v>9</v>
      </c>
      <c r="B13" s="85" t="s">
        <v>53</v>
      </c>
      <c r="C13" s="4">
        <v>5</v>
      </c>
      <c r="D13" s="4" t="s">
        <v>34</v>
      </c>
      <c r="E13" s="4" t="s">
        <v>10</v>
      </c>
      <c r="F13" s="4"/>
      <c r="G13" s="4"/>
      <c r="H13" s="5"/>
      <c r="I13" s="5"/>
      <c r="J13" s="6"/>
      <c r="K13" s="11"/>
      <c r="L13" s="58"/>
      <c r="M13" s="61"/>
      <c r="N13" s="62"/>
      <c r="O13" s="8"/>
      <c r="P13" s="8"/>
      <c r="Q13" s="8"/>
    </row>
    <row r="14" spans="1:17" s="1" customFormat="1">
      <c r="A14" s="3">
        <f>A13+1</f>
        <v>10</v>
      </c>
      <c r="B14" s="85" t="s">
        <v>54</v>
      </c>
      <c r="C14" s="4">
        <v>10</v>
      </c>
      <c r="D14" s="4" t="s">
        <v>34</v>
      </c>
      <c r="E14" s="4" t="s">
        <v>11</v>
      </c>
      <c r="F14" s="4" t="s">
        <v>29</v>
      </c>
      <c r="G14" s="4">
        <v>100</v>
      </c>
      <c r="H14" s="5"/>
      <c r="I14" s="5"/>
      <c r="J14" s="6"/>
      <c r="K14" s="11"/>
      <c r="L14" s="58"/>
      <c r="M14" s="61"/>
      <c r="N14" s="62"/>
      <c r="O14" s="8"/>
      <c r="P14" s="8"/>
      <c r="Q14" s="8"/>
    </row>
    <row r="15" spans="1:17" s="1" customFormat="1">
      <c r="A15" s="3">
        <f t="shared" ref="A15:A24" si="1">A14+1</f>
        <v>11</v>
      </c>
      <c r="B15" s="85" t="s">
        <v>55</v>
      </c>
      <c r="C15" s="4">
        <v>20</v>
      </c>
      <c r="D15" s="4" t="s">
        <v>34</v>
      </c>
      <c r="E15" s="4" t="s">
        <v>12</v>
      </c>
      <c r="F15" s="4" t="s">
        <v>29</v>
      </c>
      <c r="G15" s="4">
        <v>200</v>
      </c>
      <c r="H15" s="5"/>
      <c r="I15" s="5"/>
      <c r="J15" s="6"/>
      <c r="K15" s="11"/>
      <c r="L15" s="58"/>
      <c r="M15" s="61"/>
      <c r="N15" s="62"/>
      <c r="O15" s="8"/>
      <c r="P15" s="8"/>
      <c r="Q15" s="8"/>
    </row>
    <row r="16" spans="1:17" s="1" customFormat="1">
      <c r="A16" s="3">
        <f t="shared" si="1"/>
        <v>12</v>
      </c>
      <c r="B16" s="85" t="s">
        <v>56</v>
      </c>
      <c r="C16" s="4">
        <v>50</v>
      </c>
      <c r="D16" s="4" t="s">
        <v>34</v>
      </c>
      <c r="E16" s="4" t="s">
        <v>13</v>
      </c>
      <c r="F16" s="4"/>
      <c r="G16" s="4"/>
      <c r="H16" s="5"/>
      <c r="I16" s="5"/>
      <c r="J16" s="6"/>
      <c r="K16" s="11"/>
      <c r="L16" s="58"/>
      <c r="M16" s="61"/>
      <c r="N16" s="62"/>
      <c r="O16" s="8"/>
      <c r="P16" s="8"/>
      <c r="Q16" s="8"/>
    </row>
    <row r="17" spans="1:17" s="1" customFormat="1">
      <c r="A17" s="3">
        <f t="shared" si="1"/>
        <v>13</v>
      </c>
      <c r="B17" s="85" t="s">
        <v>57</v>
      </c>
      <c r="C17" s="4">
        <v>100</v>
      </c>
      <c r="D17" s="4" t="s">
        <v>31</v>
      </c>
      <c r="E17" s="4" t="s">
        <v>8</v>
      </c>
      <c r="F17" s="4" t="s">
        <v>28</v>
      </c>
      <c r="G17" s="4">
        <v>100</v>
      </c>
      <c r="H17" s="5"/>
      <c r="I17" s="5"/>
      <c r="J17" s="6"/>
      <c r="K17" s="11"/>
      <c r="L17" s="58"/>
      <c r="M17" s="61"/>
      <c r="N17" s="62"/>
      <c r="O17" s="8"/>
      <c r="P17" s="8"/>
      <c r="Q17" s="8"/>
    </row>
    <row r="18" spans="1:17" s="1" customFormat="1">
      <c r="A18" s="3">
        <f t="shared" si="1"/>
        <v>14</v>
      </c>
      <c r="B18" s="85" t="s">
        <v>58</v>
      </c>
      <c r="C18" s="4">
        <v>200</v>
      </c>
      <c r="D18" s="4" t="s">
        <v>31</v>
      </c>
      <c r="E18" s="4" t="s">
        <v>9</v>
      </c>
      <c r="F18" s="4" t="s">
        <v>28</v>
      </c>
      <c r="G18" s="4">
        <v>200</v>
      </c>
      <c r="H18" s="5"/>
      <c r="I18" s="5"/>
      <c r="J18" s="6"/>
      <c r="K18" s="11"/>
      <c r="L18" s="58"/>
      <c r="M18" s="61"/>
      <c r="N18" s="62"/>
      <c r="O18" s="8"/>
      <c r="P18" s="8"/>
      <c r="Q18" s="8"/>
    </row>
    <row r="19" spans="1:17" s="1" customFormat="1">
      <c r="A19" s="3">
        <f t="shared" si="1"/>
        <v>15</v>
      </c>
      <c r="B19" s="85" t="s">
        <v>59</v>
      </c>
      <c r="C19" s="4">
        <v>500</v>
      </c>
      <c r="D19" s="4" t="s">
        <v>31</v>
      </c>
      <c r="E19" s="7" t="s">
        <v>10</v>
      </c>
      <c r="F19" s="4"/>
      <c r="G19" s="4"/>
      <c r="H19" s="5"/>
      <c r="I19" s="5"/>
      <c r="J19" s="6"/>
      <c r="K19" s="11"/>
      <c r="L19" s="58"/>
      <c r="M19" s="61"/>
      <c r="N19" s="62"/>
      <c r="O19" s="8"/>
      <c r="P19" s="8"/>
      <c r="Q19" s="8"/>
    </row>
    <row r="20" spans="1:17" s="1" customFormat="1">
      <c r="A20" s="3">
        <f t="shared" si="1"/>
        <v>16</v>
      </c>
      <c r="B20" s="85" t="s">
        <v>60</v>
      </c>
      <c r="C20" s="4">
        <v>1000</v>
      </c>
      <c r="D20" s="4" t="s">
        <v>31</v>
      </c>
      <c r="E20" s="4" t="s">
        <v>11</v>
      </c>
      <c r="F20" s="4"/>
      <c r="G20" s="4"/>
      <c r="H20" s="5"/>
      <c r="I20" s="5"/>
      <c r="J20" s="6"/>
      <c r="K20" s="11"/>
      <c r="L20" s="58"/>
      <c r="M20" s="61"/>
      <c r="N20" s="62"/>
      <c r="O20" s="8"/>
      <c r="P20" s="8"/>
      <c r="Q20" s="8"/>
    </row>
    <row r="21" spans="1:17" s="1" customFormat="1">
      <c r="A21" s="3">
        <f t="shared" si="1"/>
        <v>17</v>
      </c>
      <c r="B21" s="85" t="s">
        <v>61</v>
      </c>
      <c r="C21" s="4">
        <v>2000</v>
      </c>
      <c r="D21" s="4" t="s">
        <v>31</v>
      </c>
      <c r="E21" s="4" t="s">
        <v>12</v>
      </c>
      <c r="F21" s="4" t="s">
        <v>29</v>
      </c>
      <c r="G21" s="4">
        <v>100</v>
      </c>
      <c r="H21" s="5"/>
      <c r="I21" s="5"/>
      <c r="J21" s="6"/>
      <c r="K21" s="11"/>
      <c r="L21" s="58"/>
      <c r="M21" s="61"/>
      <c r="N21" s="62"/>
      <c r="O21" s="8"/>
      <c r="P21" s="8"/>
      <c r="Q21" s="8"/>
    </row>
    <row r="22" spans="1:17" s="1" customFormat="1">
      <c r="A22" s="3">
        <f t="shared" si="1"/>
        <v>18</v>
      </c>
      <c r="B22" s="85" t="s">
        <v>62</v>
      </c>
      <c r="C22" s="4">
        <v>5000</v>
      </c>
      <c r="D22" s="4" t="s">
        <v>31</v>
      </c>
      <c r="E22" s="4" t="s">
        <v>13</v>
      </c>
      <c r="F22" s="4" t="s">
        <v>29</v>
      </c>
      <c r="G22" s="4">
        <v>200</v>
      </c>
      <c r="H22" s="5"/>
      <c r="I22" s="5"/>
      <c r="J22" s="6"/>
      <c r="K22" s="11"/>
      <c r="L22" s="58"/>
      <c r="M22" s="61"/>
      <c r="N22" s="62"/>
      <c r="O22" s="8"/>
      <c r="P22" s="8"/>
      <c r="Q22" s="8"/>
    </row>
    <row r="23" spans="1:17" s="1" customFormat="1">
      <c r="A23" s="3">
        <f t="shared" si="1"/>
        <v>19</v>
      </c>
      <c r="B23" s="85" t="s">
        <v>7</v>
      </c>
      <c r="C23" s="4"/>
      <c r="D23" s="4"/>
      <c r="E23" s="4"/>
      <c r="F23" s="4"/>
      <c r="G23" s="4"/>
      <c r="H23" s="5"/>
      <c r="I23" s="5"/>
      <c r="J23" s="6"/>
      <c r="K23" s="11"/>
      <c r="L23" s="58"/>
      <c r="M23" s="61"/>
      <c r="N23" s="62"/>
      <c r="O23" s="8"/>
      <c r="P23" s="8"/>
      <c r="Q23" s="8"/>
    </row>
    <row r="24" spans="1:17" s="1" customFormat="1">
      <c r="A24" s="3">
        <f t="shared" si="1"/>
        <v>20</v>
      </c>
      <c r="B24" s="85" t="s">
        <v>63</v>
      </c>
      <c r="C24" s="4"/>
      <c r="D24" s="4"/>
      <c r="E24" s="4"/>
      <c r="F24" s="4"/>
      <c r="G24" s="4"/>
      <c r="H24" s="5"/>
      <c r="I24" s="5"/>
      <c r="J24" s="6"/>
      <c r="K24" s="11"/>
      <c r="L24" s="58"/>
      <c r="M24" s="61"/>
      <c r="N24" s="62"/>
      <c r="O24" s="8"/>
      <c r="P24" s="8"/>
      <c r="Q24" s="8"/>
    </row>
    <row r="25" spans="1:17" s="1" customFormat="1">
      <c r="A25" s="68">
        <v>21</v>
      </c>
      <c r="B25" s="69" t="s">
        <v>64</v>
      </c>
      <c r="C25" s="70"/>
      <c r="D25" s="70"/>
      <c r="E25" s="70"/>
      <c r="F25" s="70"/>
      <c r="G25" s="70"/>
      <c r="H25" s="71"/>
      <c r="I25" s="71"/>
      <c r="J25" s="72"/>
      <c r="K25" s="73"/>
      <c r="L25" s="82"/>
      <c r="M25" s="74"/>
      <c r="N25" s="75"/>
      <c r="O25" s="8"/>
      <c r="P25" s="8"/>
      <c r="Q25" s="8"/>
    </row>
    <row r="26" spans="1:17" s="1" customFormat="1" ht="17" thickBot="1">
      <c r="A26" s="12">
        <v>22</v>
      </c>
      <c r="B26" s="13" t="s">
        <v>66</v>
      </c>
      <c r="C26" s="14"/>
      <c r="D26" s="14"/>
      <c r="E26" s="14"/>
      <c r="F26" s="14"/>
      <c r="G26" s="14"/>
      <c r="H26" s="15"/>
      <c r="I26" s="15"/>
      <c r="J26" s="16"/>
      <c r="K26" s="17"/>
      <c r="L26" s="83"/>
      <c r="M26" s="63"/>
      <c r="N26" s="64"/>
      <c r="O26" s="8"/>
      <c r="P26" s="8"/>
      <c r="Q26" s="8"/>
    </row>
    <row r="27" spans="1:17" s="1" customFormat="1" ht="17" thickBot="1">
      <c r="A27" s="12">
        <v>23</v>
      </c>
      <c r="B27" s="13" t="s">
        <v>65</v>
      </c>
      <c r="C27" s="14"/>
      <c r="D27" s="14"/>
      <c r="E27" s="14"/>
      <c r="F27" s="14"/>
      <c r="G27" s="14"/>
      <c r="H27" s="15"/>
      <c r="I27" s="15"/>
      <c r="J27" s="16"/>
      <c r="K27" s="17"/>
      <c r="L27" s="83"/>
      <c r="M27" s="63"/>
      <c r="N27" s="64"/>
      <c r="O27" s="8"/>
      <c r="P27" s="8"/>
      <c r="Q27" s="8"/>
    </row>
    <row r="28" spans="1:17" s="1" customFormat="1" ht="17" thickBot="1"/>
    <row r="29" spans="1:17" s="1" customFormat="1" ht="19">
      <c r="A29" s="168"/>
      <c r="B29" s="169"/>
      <c r="C29" s="169"/>
      <c r="D29" s="169"/>
      <c r="E29" s="169"/>
      <c r="F29" s="169"/>
      <c r="G29" s="169"/>
      <c r="H29" s="170"/>
    </row>
    <row r="30" spans="1:17" s="1" customFormat="1" ht="34.5" customHeight="1">
      <c r="A30" s="162"/>
      <c r="B30" s="163"/>
      <c r="C30" s="163"/>
      <c r="D30" s="163"/>
      <c r="E30" s="163"/>
      <c r="F30" s="163"/>
      <c r="G30" s="163"/>
      <c r="H30" s="164"/>
    </row>
    <row r="31" spans="1:17" s="1" customFormat="1">
      <c r="A31" s="162"/>
      <c r="B31" s="163"/>
      <c r="C31" s="163"/>
      <c r="D31" s="163"/>
      <c r="E31" s="163"/>
      <c r="F31" s="163"/>
      <c r="G31" s="163"/>
      <c r="H31" s="164"/>
    </row>
    <row r="32" spans="1:17" s="1" customFormat="1">
      <c r="A32" s="162"/>
      <c r="B32" s="163"/>
      <c r="C32" s="163"/>
      <c r="D32" s="163"/>
      <c r="E32" s="163"/>
      <c r="F32" s="163"/>
      <c r="G32" s="163"/>
      <c r="H32" s="164"/>
    </row>
    <row r="33" spans="1:8" s="1" customFormat="1" ht="17" thickBot="1">
      <c r="A33" s="165"/>
      <c r="B33" s="166"/>
      <c r="C33" s="166"/>
      <c r="D33" s="166"/>
      <c r="E33" s="166"/>
      <c r="F33" s="166"/>
      <c r="G33" s="166"/>
      <c r="H33" s="167"/>
    </row>
    <row r="34" spans="1:8" s="1" customFormat="1"/>
    <row r="35" spans="1:8" s="1" customFormat="1" ht="21">
      <c r="A35" s="159"/>
      <c r="B35" s="159"/>
      <c r="C35" s="159"/>
      <c r="D35" s="159"/>
      <c r="E35" s="159"/>
      <c r="F35" s="159"/>
      <c r="G35" s="159"/>
    </row>
    <row r="36" spans="1:8" s="1" customFormat="1">
      <c r="A36" s="85"/>
      <c r="B36" s="85"/>
      <c r="C36" s="85"/>
      <c r="D36" s="158"/>
      <c r="E36" s="158"/>
      <c r="F36" s="158"/>
      <c r="G36" s="158"/>
    </row>
    <row r="37" spans="1:8">
      <c r="D37" s="65"/>
    </row>
    <row r="38" spans="1:8" ht="18.75" customHeight="1">
      <c r="D38" s="66"/>
    </row>
    <row r="39" spans="1:8" ht="18" customHeight="1">
      <c r="D39" s="65"/>
    </row>
    <row r="40" spans="1:8">
      <c r="D40" s="65"/>
    </row>
    <row r="41" spans="1:8">
      <c r="D41" s="67"/>
    </row>
    <row r="42" spans="1:8">
      <c r="D42" s="66"/>
    </row>
    <row r="43" spans="1:8">
      <c r="D43" s="66"/>
    </row>
    <row r="44" spans="1:8">
      <c r="D44" s="66"/>
    </row>
    <row r="45" spans="1:8">
      <c r="D45" s="66"/>
    </row>
    <row r="46" spans="1:8">
      <c r="D46" s="66"/>
    </row>
    <row r="47" spans="1:8">
      <c r="D47" s="66"/>
    </row>
    <row r="48" spans="1:8">
      <c r="D48" s="66"/>
    </row>
    <row r="49" spans="4:4">
      <c r="D49" s="66"/>
    </row>
    <row r="50" spans="4:4">
      <c r="D50" s="66"/>
    </row>
    <row r="51" spans="4:4">
      <c r="D51" s="65"/>
    </row>
    <row r="52" spans="4:4">
      <c r="D52" s="65"/>
    </row>
    <row r="53" spans="4:4">
      <c r="D53" s="65"/>
    </row>
    <row r="54" spans="4:4">
      <c r="D54" s="65"/>
    </row>
    <row r="55" spans="4:4">
      <c r="D55" s="65"/>
    </row>
    <row r="56" spans="4:4">
      <c r="D56" s="65"/>
    </row>
    <row r="57" spans="4:4">
      <c r="D57" s="65"/>
    </row>
    <row r="58" spans="4:4">
      <c r="D58" s="65"/>
    </row>
    <row r="59" spans="4:4">
      <c r="D59" s="65"/>
    </row>
    <row r="60" spans="4:4">
      <c r="D60" s="65"/>
    </row>
    <row r="61" spans="4:4">
      <c r="D61" s="65"/>
    </row>
    <row r="62" spans="4:4">
      <c r="D62" s="65"/>
    </row>
    <row r="63" spans="4:4">
      <c r="D63" s="65"/>
    </row>
    <row r="64" spans="4:4">
      <c r="D64" s="65"/>
    </row>
    <row r="65" spans="4:4">
      <c r="D65" s="65"/>
    </row>
    <row r="66" spans="4:4">
      <c r="D66" s="65"/>
    </row>
    <row r="67" spans="4:4">
      <c r="D67" s="65"/>
    </row>
    <row r="68" spans="4:4">
      <c r="D68" s="65"/>
    </row>
    <row r="69" spans="4:4">
      <c r="D69" s="65"/>
    </row>
    <row r="70" spans="4:4">
      <c r="D70" s="65"/>
    </row>
    <row r="71" spans="4:4">
      <c r="D71" s="65"/>
    </row>
    <row r="72" spans="4:4">
      <c r="D72" s="65"/>
    </row>
    <row r="73" spans="4:4">
      <c r="D73" s="65"/>
    </row>
    <row r="74" spans="4:4">
      <c r="D74" s="65"/>
    </row>
    <row r="75" spans="4:4">
      <c r="D75" s="65"/>
    </row>
    <row r="76" spans="4:4">
      <c r="D76" s="65"/>
    </row>
    <row r="77" spans="4:4">
      <c r="D77" s="65"/>
    </row>
    <row r="78" spans="4:4">
      <c r="D78" s="65"/>
    </row>
    <row r="79" spans="4:4">
      <c r="D79" s="65"/>
    </row>
    <row r="80" spans="4:4">
      <c r="D80" s="66"/>
    </row>
    <row r="81" spans="4:4">
      <c r="D81" s="66"/>
    </row>
    <row r="82" spans="4:4">
      <c r="D82" s="66"/>
    </row>
    <row r="83" spans="4:4">
      <c r="D83" s="66"/>
    </row>
    <row r="84" spans="4:4">
      <c r="D84" s="66"/>
    </row>
    <row r="85" spans="4:4">
      <c r="D85" s="66"/>
    </row>
    <row r="86" spans="4:4">
      <c r="D86" s="66"/>
    </row>
    <row r="87" spans="4:4">
      <c r="D87" s="66"/>
    </row>
    <row r="88" spans="4:4">
      <c r="D88" s="66"/>
    </row>
    <row r="89" spans="4:4">
      <c r="D89" s="66"/>
    </row>
    <row r="90" spans="4:4">
      <c r="D90" s="66"/>
    </row>
    <row r="91" spans="4:4">
      <c r="D91" s="66"/>
    </row>
    <row r="92" spans="4:4">
      <c r="D92" s="66"/>
    </row>
    <row r="93" spans="4:4">
      <c r="D93" s="66"/>
    </row>
    <row r="94" spans="4:4">
      <c r="D94" s="65"/>
    </row>
    <row r="95" spans="4:4">
      <c r="D95" s="65"/>
    </row>
    <row r="96" spans="4:4">
      <c r="D96" s="65"/>
    </row>
    <row r="97" spans="4:4">
      <c r="D97" s="65"/>
    </row>
    <row r="98" spans="4:4">
      <c r="D98" s="65"/>
    </row>
    <row r="99" spans="4:4">
      <c r="D99" s="65"/>
    </row>
    <row r="100" spans="4:4">
      <c r="D100" s="65"/>
    </row>
    <row r="101" spans="4:4">
      <c r="D101" s="65"/>
    </row>
    <row r="102" spans="4:4">
      <c r="D102" s="65"/>
    </row>
    <row r="103" spans="4:4">
      <c r="D103" s="65"/>
    </row>
    <row r="104" spans="4:4">
      <c r="D104" s="65"/>
    </row>
    <row r="105" spans="4:4">
      <c r="D105" s="65"/>
    </row>
    <row r="106" spans="4:4">
      <c r="D106" s="65"/>
    </row>
    <row r="107" spans="4:4">
      <c r="D107" s="65"/>
    </row>
    <row r="108" spans="4:4">
      <c r="D108" s="66"/>
    </row>
    <row r="109" spans="4:4">
      <c r="D109" s="66"/>
    </row>
    <row r="110" spans="4:4">
      <c r="D110" s="66"/>
    </row>
    <row r="111" spans="4:4">
      <c r="D111" s="66"/>
    </row>
    <row r="112" spans="4:4">
      <c r="D112" s="66"/>
    </row>
    <row r="113" spans="4:4">
      <c r="D113" s="66"/>
    </row>
    <row r="114" spans="4:4">
      <c r="D114" s="66"/>
    </row>
    <row r="115" spans="4:4">
      <c r="D115" s="66"/>
    </row>
    <row r="116" spans="4:4">
      <c r="D116" s="66"/>
    </row>
    <row r="117" spans="4:4">
      <c r="D117" s="66"/>
    </row>
    <row r="118" spans="4:4">
      <c r="D118" s="66"/>
    </row>
    <row r="119" spans="4:4">
      <c r="D119" s="66"/>
    </row>
    <row r="120" spans="4:4">
      <c r="D120" s="66"/>
    </row>
    <row r="121" spans="4:4">
      <c r="D121" s="66"/>
    </row>
    <row r="122" spans="4:4">
      <c r="D122" s="65"/>
    </row>
    <row r="123" spans="4:4">
      <c r="D123" s="65"/>
    </row>
    <row r="124" spans="4:4">
      <c r="D124" s="65"/>
    </row>
    <row r="125" spans="4:4">
      <c r="D125" s="65"/>
    </row>
    <row r="126" spans="4:4">
      <c r="D126" s="65"/>
    </row>
    <row r="127" spans="4:4">
      <c r="D127" s="65"/>
    </row>
    <row r="128" spans="4:4">
      <c r="D128" s="65"/>
    </row>
    <row r="129" spans="4:4">
      <c r="D129" s="65"/>
    </row>
    <row r="130" spans="4:4">
      <c r="D130" s="65"/>
    </row>
    <row r="131" spans="4:4">
      <c r="D131" s="65"/>
    </row>
    <row r="132" spans="4:4">
      <c r="D132" s="65"/>
    </row>
    <row r="133" spans="4:4">
      <c r="D133" s="65"/>
    </row>
    <row r="134" spans="4:4">
      <c r="D134" s="65"/>
    </row>
    <row r="135" spans="4:4">
      <c r="D135" s="65"/>
    </row>
    <row r="136" spans="4:4">
      <c r="D136" s="66"/>
    </row>
    <row r="137" spans="4:4">
      <c r="D137" s="66"/>
    </row>
    <row r="138" spans="4:4">
      <c r="D138" s="66"/>
    </row>
    <row r="139" spans="4:4">
      <c r="D139" s="66"/>
    </row>
    <row r="140" spans="4:4">
      <c r="D140" s="66"/>
    </row>
    <row r="141" spans="4:4">
      <c r="D141" s="66"/>
    </row>
    <row r="142" spans="4:4">
      <c r="D142" s="66"/>
    </row>
    <row r="143" spans="4:4">
      <c r="D143" s="66"/>
    </row>
    <row r="144" spans="4:4">
      <c r="D144" s="66"/>
    </row>
    <row r="145" spans="4:4">
      <c r="D145" s="66"/>
    </row>
    <row r="146" spans="4:4">
      <c r="D146" s="66"/>
    </row>
    <row r="147" spans="4:4">
      <c r="D147" s="66"/>
    </row>
    <row r="148" spans="4:4">
      <c r="D148" s="66"/>
    </row>
    <row r="149" spans="4:4">
      <c r="D149" s="66"/>
    </row>
    <row r="150" spans="4:4">
      <c r="D150" s="66"/>
    </row>
    <row r="151" spans="4:4">
      <c r="D151" s="66"/>
    </row>
    <row r="152" spans="4:4">
      <c r="D152" s="66"/>
    </row>
    <row r="153" spans="4:4">
      <c r="D153" s="66"/>
    </row>
    <row r="154" spans="4:4">
      <c r="D154" s="66"/>
    </row>
    <row r="155" spans="4:4">
      <c r="D155" s="66"/>
    </row>
    <row r="156" spans="4:4">
      <c r="D156" s="66"/>
    </row>
    <row r="157" spans="4:4">
      <c r="D157" s="66"/>
    </row>
    <row r="158" spans="4:4">
      <c r="D158" s="66"/>
    </row>
    <row r="159" spans="4:4">
      <c r="D159" s="66"/>
    </row>
    <row r="160" spans="4:4">
      <c r="D160" s="66"/>
    </row>
    <row r="161" spans="4:4">
      <c r="D161" s="65"/>
    </row>
    <row r="162" spans="4:4">
      <c r="D162" s="65"/>
    </row>
    <row r="163" spans="4:4">
      <c r="D163" s="65"/>
    </row>
    <row r="164" spans="4:4">
      <c r="D164" s="65"/>
    </row>
    <row r="165" spans="4:4">
      <c r="D165" s="65"/>
    </row>
    <row r="166" spans="4:4">
      <c r="D166" s="65"/>
    </row>
    <row r="167" spans="4:4">
      <c r="D167" s="65"/>
    </row>
    <row r="168" spans="4:4">
      <c r="D168" s="65"/>
    </row>
    <row r="169" spans="4:4">
      <c r="D169" s="65"/>
    </row>
    <row r="170" spans="4:4">
      <c r="D170" s="65"/>
    </row>
    <row r="171" spans="4:4">
      <c r="D171" s="65"/>
    </row>
    <row r="172" spans="4:4">
      <c r="D172" s="65"/>
    </row>
    <row r="173" spans="4:4">
      <c r="D173" s="65"/>
    </row>
    <row r="174" spans="4:4">
      <c r="D174" s="65"/>
    </row>
    <row r="175" spans="4:4">
      <c r="D175" s="65"/>
    </row>
    <row r="176" spans="4:4">
      <c r="D176" s="65"/>
    </row>
    <row r="177" spans="4:4">
      <c r="D177" s="65"/>
    </row>
    <row r="178" spans="4:4">
      <c r="D178" s="65"/>
    </row>
    <row r="179" spans="4:4">
      <c r="D179" s="65"/>
    </row>
    <row r="180" spans="4:4">
      <c r="D180" s="65"/>
    </row>
    <row r="181" spans="4:4">
      <c r="D181" s="65"/>
    </row>
    <row r="182" spans="4:4">
      <c r="D182" s="65"/>
    </row>
    <row r="183" spans="4:4">
      <c r="D183" s="65"/>
    </row>
    <row r="184" spans="4:4">
      <c r="D184" s="65"/>
    </row>
    <row r="185" spans="4:4">
      <c r="D185" s="65"/>
    </row>
    <row r="186" spans="4:4">
      <c r="D186" s="65"/>
    </row>
    <row r="187" spans="4:4">
      <c r="D187" s="65"/>
    </row>
    <row r="188" spans="4:4">
      <c r="D188" s="65"/>
    </row>
    <row r="189" spans="4:4">
      <c r="D189" s="65"/>
    </row>
    <row r="190" spans="4:4">
      <c r="D190" s="65"/>
    </row>
    <row r="191" spans="4:4">
      <c r="D191" s="65"/>
    </row>
    <row r="192" spans="4:4">
      <c r="D192" s="65"/>
    </row>
    <row r="193" spans="4:4">
      <c r="D193" s="84"/>
    </row>
  </sheetData>
  <mergeCells count="8">
    <mergeCell ref="A2:N2"/>
    <mergeCell ref="A1:N1"/>
    <mergeCell ref="D36:G36"/>
    <mergeCell ref="A35:G35"/>
    <mergeCell ref="C3:G3"/>
    <mergeCell ref="A30:H33"/>
    <mergeCell ref="A29:H29"/>
    <mergeCell ref="L3:N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4" name="Button 6">
              <controlPr defaultSize="0" print="0" autoFill="0" autoPict="0" macro="[0]!StopBA">
                <anchor moveWithCells="1" sizeWithCells="1">
                  <from>
                    <xdr:col>18</xdr:col>
                    <xdr:colOff>12700</xdr:colOff>
                    <xdr:row>27</xdr:row>
                    <xdr:rowOff>0</xdr:rowOff>
                  </from>
                  <to>
                    <xdr:col>19</xdr:col>
                    <xdr:colOff>0</xdr:colOff>
                    <xdr:row>27</xdr:row>
                    <xdr:rowOff>203200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521A2-C2B5-884F-A166-8502C6087D25}">
  <dimension ref="A1:F23"/>
  <sheetViews>
    <sheetView workbookViewId="0">
      <selection activeCell="E12" sqref="E12"/>
    </sheetView>
  </sheetViews>
  <sheetFormatPr baseColWidth="10" defaultRowHeight="16"/>
  <cols>
    <col min="5" max="5" width="23.33203125" customWidth="1"/>
  </cols>
  <sheetData>
    <row r="1" spans="1:6" ht="18" thickTop="1">
      <c r="A1" s="87" t="s">
        <v>67</v>
      </c>
      <c r="B1" s="174" t="s">
        <v>96</v>
      </c>
      <c r="C1" s="174"/>
    </row>
    <row r="2" spans="1:6" ht="18" thickBot="1">
      <c r="A2" s="87" t="s">
        <v>68</v>
      </c>
      <c r="B2" s="175" t="s">
        <v>69</v>
      </c>
      <c r="C2" s="175"/>
    </row>
    <row r="3" spans="1:6" ht="18" thickTop="1">
      <c r="A3" s="88" t="s">
        <v>70</v>
      </c>
      <c r="B3" s="89">
        <f t="shared" ref="B3:D3" si="0">SUM(B5:B12)</f>
        <v>280</v>
      </c>
      <c r="C3" s="89">
        <f t="shared" si="0"/>
        <v>485</v>
      </c>
      <c r="D3" s="89">
        <f t="shared" si="0"/>
        <v>198</v>
      </c>
    </row>
    <row r="4" spans="1:6" ht="41" customHeight="1">
      <c r="A4" s="90" t="s">
        <v>71</v>
      </c>
      <c r="B4" s="91" t="s">
        <v>8</v>
      </c>
      <c r="C4" s="91" t="s">
        <v>9</v>
      </c>
      <c r="D4" s="91" t="s">
        <v>10</v>
      </c>
      <c r="E4" s="92" t="s">
        <v>72</v>
      </c>
      <c r="F4" s="93" t="s">
        <v>73</v>
      </c>
    </row>
    <row r="5" spans="1:6" ht="17">
      <c r="A5" s="90" t="s">
        <v>74</v>
      </c>
      <c r="B5" s="91">
        <v>33</v>
      </c>
      <c r="C5" s="91">
        <v>12</v>
      </c>
      <c r="D5" s="91">
        <v>13</v>
      </c>
      <c r="E5" s="94" t="s">
        <v>75</v>
      </c>
      <c r="F5" s="95" t="s">
        <v>76</v>
      </c>
    </row>
    <row r="6" spans="1:6" ht="17">
      <c r="A6" s="90" t="s">
        <v>77</v>
      </c>
      <c r="B6" s="91">
        <v>50</v>
      </c>
      <c r="C6" s="91">
        <v>144</v>
      </c>
      <c r="D6" s="91">
        <v>50</v>
      </c>
      <c r="E6" s="96" t="s">
        <v>78</v>
      </c>
      <c r="F6" s="95" t="s">
        <v>79</v>
      </c>
    </row>
    <row r="7" spans="1:6" ht="17">
      <c r="A7" s="90" t="s">
        <v>80</v>
      </c>
      <c r="B7" s="91">
        <v>80</v>
      </c>
      <c r="C7" s="91">
        <v>58</v>
      </c>
      <c r="D7" s="91">
        <v>30</v>
      </c>
      <c r="E7" s="96" t="s">
        <v>81</v>
      </c>
      <c r="F7" s="95" t="s">
        <v>82</v>
      </c>
    </row>
    <row r="8" spans="1:6" ht="17">
      <c r="A8" s="90" t="s">
        <v>83</v>
      </c>
      <c r="B8" s="91">
        <v>50</v>
      </c>
      <c r="C8" s="91">
        <v>100</v>
      </c>
      <c r="D8" s="91">
        <v>50</v>
      </c>
      <c r="E8" s="96" t="s">
        <v>84</v>
      </c>
      <c r="F8" s="95" t="s">
        <v>85</v>
      </c>
    </row>
    <row r="9" spans="1:6" ht="17">
      <c r="A9" s="90" t="s">
        <v>86</v>
      </c>
      <c r="B9" s="91">
        <v>5</v>
      </c>
      <c r="C9" s="91">
        <v>101</v>
      </c>
      <c r="D9" s="91">
        <v>7</v>
      </c>
      <c r="E9" s="96" t="s">
        <v>87</v>
      </c>
      <c r="F9" s="95" t="s">
        <v>88</v>
      </c>
    </row>
    <row r="10" spans="1:6" ht="17">
      <c r="A10" s="90" t="s">
        <v>89</v>
      </c>
      <c r="B10" s="91"/>
      <c r="C10" s="91">
        <v>1</v>
      </c>
      <c r="D10" s="91">
        <v>3</v>
      </c>
      <c r="E10" s="96" t="s">
        <v>90</v>
      </c>
      <c r="F10" s="95" t="s">
        <v>88</v>
      </c>
    </row>
    <row r="11" spans="1:6" ht="17">
      <c r="A11" s="90" t="s">
        <v>91</v>
      </c>
      <c r="B11" s="91"/>
      <c r="C11" s="91"/>
      <c r="D11" s="91"/>
      <c r="E11" s="96" t="s">
        <v>92</v>
      </c>
      <c r="F11" s="95" t="s">
        <v>88</v>
      </c>
    </row>
    <row r="12" spans="1:6" ht="17">
      <c r="A12" s="90" t="s">
        <v>93</v>
      </c>
      <c r="B12" s="91">
        <v>62</v>
      </c>
      <c r="C12" s="91">
        <v>69</v>
      </c>
      <c r="D12" s="91">
        <v>45</v>
      </c>
      <c r="E12" s="96" t="s">
        <v>94</v>
      </c>
      <c r="F12" s="95" t="s">
        <v>95</v>
      </c>
    </row>
    <row r="13" spans="1:6" ht="17" thickBot="1">
      <c r="A13" s="97"/>
      <c r="C13" s="97"/>
      <c r="F13" s="95"/>
    </row>
    <row r="14" spans="1:6" ht="18" thickTop="1">
      <c r="A14" s="88" t="s">
        <v>70</v>
      </c>
      <c r="B14" s="89">
        <f t="shared" ref="B14:D14" si="1">SUM(B16:B23)</f>
        <v>223</v>
      </c>
      <c r="C14" s="89">
        <f t="shared" si="1"/>
        <v>258</v>
      </c>
      <c r="D14" s="89">
        <f t="shared" si="1"/>
        <v>459</v>
      </c>
    </row>
    <row r="15" spans="1:6" ht="34">
      <c r="A15" s="90" t="s">
        <v>71</v>
      </c>
      <c r="B15" s="91" t="s">
        <v>11</v>
      </c>
      <c r="C15" s="91" t="s">
        <v>12</v>
      </c>
      <c r="D15" s="91" t="s">
        <v>13</v>
      </c>
      <c r="E15" s="92" t="s">
        <v>72</v>
      </c>
    </row>
    <row r="16" spans="1:6" ht="17">
      <c r="A16" s="90" t="s">
        <v>74</v>
      </c>
      <c r="B16" s="91">
        <v>28</v>
      </c>
      <c r="C16" s="91">
        <v>42</v>
      </c>
      <c r="D16" s="91">
        <v>25</v>
      </c>
      <c r="E16" s="94" t="s">
        <v>75</v>
      </c>
    </row>
    <row r="17" spans="1:5" ht="17">
      <c r="A17" s="90" t="s">
        <v>77</v>
      </c>
      <c r="B17" s="91">
        <v>73</v>
      </c>
      <c r="C17" s="91">
        <v>76</v>
      </c>
      <c r="D17" s="91">
        <v>98</v>
      </c>
      <c r="E17" s="96" t="s">
        <v>78</v>
      </c>
    </row>
    <row r="18" spans="1:5" ht="17">
      <c r="A18" s="90" t="s">
        <v>80</v>
      </c>
      <c r="B18" s="91">
        <v>24</v>
      </c>
      <c r="C18" s="91">
        <v>41</v>
      </c>
      <c r="D18" s="91">
        <v>8</v>
      </c>
      <c r="E18" s="96" t="s">
        <v>81</v>
      </c>
    </row>
    <row r="19" spans="1:5" ht="17">
      <c r="A19" s="90" t="s">
        <v>83</v>
      </c>
      <c r="B19" s="91">
        <v>50</v>
      </c>
      <c r="C19" s="91">
        <v>50</v>
      </c>
      <c r="D19" s="91">
        <v>300</v>
      </c>
      <c r="E19" s="96" t="s">
        <v>84</v>
      </c>
    </row>
    <row r="20" spans="1:5" ht="17">
      <c r="A20" s="90" t="s">
        <v>86</v>
      </c>
      <c r="B20" s="91">
        <v>15</v>
      </c>
      <c r="C20" s="91">
        <v>14</v>
      </c>
      <c r="D20" s="91">
        <v>1</v>
      </c>
      <c r="E20" s="96" t="s">
        <v>87</v>
      </c>
    </row>
    <row r="21" spans="1:5" ht="17">
      <c r="A21" s="90" t="s">
        <v>89</v>
      </c>
      <c r="B21" s="91"/>
      <c r="C21" s="91">
        <v>2</v>
      </c>
      <c r="D21" s="91">
        <v>3</v>
      </c>
      <c r="E21" s="96" t="s">
        <v>90</v>
      </c>
    </row>
    <row r="22" spans="1:5" ht="17">
      <c r="A22" s="90" t="s">
        <v>91</v>
      </c>
      <c r="B22" s="91"/>
      <c r="C22" s="91"/>
      <c r="D22" s="91"/>
      <c r="E22" s="96" t="s">
        <v>92</v>
      </c>
    </row>
    <row r="23" spans="1:5" ht="17">
      <c r="A23" s="90" t="s">
        <v>93</v>
      </c>
      <c r="B23" s="91">
        <v>33</v>
      </c>
      <c r="C23" s="91">
        <v>33</v>
      </c>
      <c r="D23" s="91">
        <v>24</v>
      </c>
      <c r="E23" s="96" t="s">
        <v>94</v>
      </c>
    </row>
  </sheetData>
  <mergeCells count="2">
    <mergeCell ref="B1:C1"/>
    <mergeCell ref="B2:C2"/>
  </mergeCells>
  <hyperlinks>
    <hyperlink ref="F11" r:id="rId1" xr:uid="{AE6E4FE5-AA31-EA4E-BF52-78A9372BC688}"/>
    <hyperlink ref="F10" r:id="rId2" xr:uid="{C3CE6C7F-EBD3-9A45-8999-5FA8C95F48AE}"/>
    <hyperlink ref="F9" r:id="rId3" xr:uid="{B59BC18B-6716-D944-810A-57CBE329BC58}"/>
    <hyperlink ref="F7" r:id="rId4" xr:uid="{D4865DDA-9434-124A-B36C-288208500C57}"/>
    <hyperlink ref="F5" r:id="rId5" xr:uid="{C996DC28-26C5-E24E-906B-BA22C697F89D}"/>
    <hyperlink ref="F6" r:id="rId6" xr:uid="{E26C5DE3-3B79-604B-B7D1-AC301B728159}"/>
    <hyperlink ref="F12" r:id="rId7" xr:uid="{A27FA7B6-6E54-9249-BE08-61780667A844}"/>
    <hyperlink ref="F8" r:id="rId8" xr:uid="{1D560828-C175-614F-81C1-C20EFFC1DBA1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Experiment</vt:lpstr>
      <vt:lpstr>Samples</vt:lpstr>
      <vt:lpstr>Experiment DNA sample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cp:lastPrinted>2018-07-09T16:54:58Z</cp:lastPrinted>
  <dcterms:created xsi:type="dcterms:W3CDTF">2018-06-21T12:31:33Z</dcterms:created>
  <dcterms:modified xsi:type="dcterms:W3CDTF">2019-07-23T20:59:45Z</dcterms:modified>
</cp:coreProperties>
</file>